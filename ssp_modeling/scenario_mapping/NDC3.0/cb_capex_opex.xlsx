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fuentes/Downloads/"/>
    </mc:Choice>
  </mc:AlternateContent>
  <xr:revisionPtr revIDLastSave="0" documentId="13_ncr:1_{EBB67425-8D29-0042-81E6-D392EAC8F0EB}" xr6:coauthVersionLast="47" xr6:coauthVersionMax="47" xr10:uidLastSave="{00000000-0000-0000-0000-000000000000}"/>
  <bookViews>
    <workbookView xWindow="-38400" yWindow="-620" windowWidth="38400" windowHeight="21000" activeTab="2" xr2:uid="{00000000-000D-0000-FFFF-FFFF00000000}"/>
  </bookViews>
  <sheets>
    <sheet name="Sheet 1" sheetId="1" state="hidden" r:id="rId1"/>
    <sheet name="Sheet 2" sheetId="2" r:id="rId2"/>
    <sheet name="C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134" i="3" l="1"/>
  <c r="BX134" i="3"/>
  <c r="BW134" i="3"/>
  <c r="BV134" i="3"/>
  <c r="BU134" i="3"/>
  <c r="BT134" i="3"/>
  <c r="BS134" i="3"/>
  <c r="BR134" i="3"/>
  <c r="BQ134" i="3"/>
  <c r="BP134" i="3"/>
  <c r="BO134" i="3"/>
  <c r="BN134" i="3"/>
  <c r="BM134" i="3"/>
  <c r="BL134" i="3"/>
  <c r="BK134" i="3"/>
  <c r="BJ134" i="3"/>
  <c r="BI134" i="3"/>
  <c r="BH134" i="3"/>
  <c r="BG134" i="3"/>
  <c r="BF134" i="3"/>
  <c r="BE134" i="3"/>
  <c r="BD134" i="3"/>
  <c r="BC134" i="3"/>
  <c r="BB134" i="3"/>
  <c r="BA134" i="3"/>
  <c r="AZ134" i="3"/>
  <c r="AY134" i="3"/>
  <c r="AX134" i="3"/>
  <c r="AW134" i="3"/>
  <c r="AV134" i="3"/>
  <c r="AU134" i="3"/>
  <c r="AT134" i="3"/>
  <c r="AS134" i="3"/>
  <c r="AR134" i="3"/>
  <c r="AQ134" i="3"/>
  <c r="AP134" i="3"/>
  <c r="AO134" i="3"/>
  <c r="BY113" i="3"/>
  <c r="BX113" i="3"/>
  <c r="BW113" i="3"/>
  <c r="BV113" i="3"/>
  <c r="BU113" i="3"/>
  <c r="BT113" i="3"/>
  <c r="BS113" i="3"/>
  <c r="BR113" i="3"/>
  <c r="BQ113" i="3"/>
  <c r="BP113" i="3"/>
  <c r="BO113" i="3"/>
  <c r="BN113" i="3"/>
  <c r="BM113" i="3"/>
  <c r="BL113" i="3"/>
  <c r="BK113" i="3"/>
  <c r="BJ113" i="3"/>
  <c r="BI113" i="3"/>
  <c r="BH113" i="3"/>
  <c r="BG113" i="3"/>
  <c r="BF113" i="3"/>
  <c r="BE113" i="3"/>
  <c r="BD113" i="3"/>
  <c r="BC113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AP113" i="3"/>
  <c r="AO113" i="3"/>
  <c r="BY133" i="3"/>
  <c r="BX133" i="3"/>
  <c r="BW133" i="3"/>
  <c r="BV133" i="3"/>
  <c r="BU133" i="3"/>
  <c r="BT133" i="3"/>
  <c r="BS133" i="3"/>
  <c r="BR133" i="3"/>
  <c r="BQ133" i="3"/>
  <c r="BP133" i="3"/>
  <c r="BO133" i="3"/>
  <c r="BN133" i="3"/>
  <c r="BM133" i="3"/>
  <c r="BL133" i="3"/>
  <c r="BK133" i="3"/>
  <c r="BJ133" i="3"/>
  <c r="BI133" i="3"/>
  <c r="BH133" i="3"/>
  <c r="BG133" i="3"/>
  <c r="BF133" i="3"/>
  <c r="BE133" i="3"/>
  <c r="BD133" i="3"/>
  <c r="BC133" i="3"/>
  <c r="BB133" i="3"/>
  <c r="BA133" i="3"/>
  <c r="AZ133" i="3"/>
  <c r="AY133" i="3"/>
  <c r="AX133" i="3"/>
  <c r="AW133" i="3"/>
  <c r="AV133" i="3"/>
  <c r="AU133" i="3"/>
  <c r="AT133" i="3"/>
  <c r="AS133" i="3"/>
  <c r="AR133" i="3"/>
  <c r="AQ133" i="3"/>
  <c r="AP133" i="3"/>
  <c r="AO133" i="3"/>
  <c r="BY132" i="3"/>
  <c r="BX132" i="3"/>
  <c r="BW132" i="3"/>
  <c r="BV132" i="3"/>
  <c r="BU132" i="3"/>
  <c r="BT132" i="3"/>
  <c r="BS132" i="3"/>
  <c r="BR132" i="3"/>
  <c r="BQ132" i="3"/>
  <c r="BP132" i="3"/>
  <c r="BO132" i="3"/>
  <c r="BN132" i="3"/>
  <c r="BM132" i="3"/>
  <c r="BL132" i="3"/>
  <c r="BK132" i="3"/>
  <c r="BJ132" i="3"/>
  <c r="BI132" i="3"/>
  <c r="BH132" i="3"/>
  <c r="BG132" i="3"/>
  <c r="BF132" i="3"/>
  <c r="BE132" i="3"/>
  <c r="BD132" i="3"/>
  <c r="BC132" i="3"/>
  <c r="BB132" i="3"/>
  <c r="BA132" i="3"/>
  <c r="AZ132" i="3"/>
  <c r="AY132" i="3"/>
  <c r="AX132" i="3"/>
  <c r="AW132" i="3"/>
  <c r="AV132" i="3"/>
  <c r="AU132" i="3"/>
  <c r="AT132" i="3"/>
  <c r="AS132" i="3"/>
  <c r="AR132" i="3"/>
  <c r="AQ132" i="3"/>
  <c r="AP132" i="3"/>
  <c r="AO132" i="3"/>
  <c r="BY131" i="3"/>
  <c r="BX131" i="3"/>
  <c r="BW131" i="3"/>
  <c r="BV131" i="3"/>
  <c r="BU131" i="3"/>
  <c r="BT131" i="3"/>
  <c r="BS131" i="3"/>
  <c r="BR131" i="3"/>
  <c r="BQ131" i="3"/>
  <c r="BP131" i="3"/>
  <c r="BO131" i="3"/>
  <c r="BN131" i="3"/>
  <c r="BM131" i="3"/>
  <c r="BL131" i="3"/>
  <c r="BK131" i="3"/>
  <c r="BJ131" i="3"/>
  <c r="BI131" i="3"/>
  <c r="BH131" i="3"/>
  <c r="BG131" i="3"/>
  <c r="BF131" i="3"/>
  <c r="BE131" i="3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AO131" i="3"/>
  <c r="BY130" i="3"/>
  <c r="BX130" i="3"/>
  <c r="BW130" i="3"/>
  <c r="BV130" i="3"/>
  <c r="BU130" i="3"/>
  <c r="BT130" i="3"/>
  <c r="BS130" i="3"/>
  <c r="BR130" i="3"/>
  <c r="BQ130" i="3"/>
  <c r="BP130" i="3"/>
  <c r="BO130" i="3"/>
  <c r="BN130" i="3"/>
  <c r="BM130" i="3"/>
  <c r="BL130" i="3"/>
  <c r="BK130" i="3"/>
  <c r="BJ130" i="3"/>
  <c r="BI130" i="3"/>
  <c r="BH130" i="3"/>
  <c r="BG130" i="3"/>
  <c r="BF130" i="3"/>
  <c r="BE130" i="3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BY129" i="3"/>
  <c r="BX129" i="3"/>
  <c r="BW129" i="3"/>
  <c r="BV129" i="3"/>
  <c r="BU129" i="3"/>
  <c r="BT129" i="3"/>
  <c r="BS129" i="3"/>
  <c r="BR129" i="3"/>
  <c r="BQ129" i="3"/>
  <c r="BP129" i="3"/>
  <c r="BO129" i="3"/>
  <c r="BN129" i="3"/>
  <c r="BM129" i="3"/>
  <c r="BL129" i="3"/>
  <c r="BK129" i="3"/>
  <c r="BJ129" i="3"/>
  <c r="BI129" i="3"/>
  <c r="BH129" i="3"/>
  <c r="BG129" i="3"/>
  <c r="BF129" i="3"/>
  <c r="BE129" i="3"/>
  <c r="BD129" i="3"/>
  <c r="BC129" i="3"/>
  <c r="BB129" i="3"/>
  <c r="BA129" i="3"/>
  <c r="AZ129" i="3"/>
  <c r="AY129" i="3"/>
  <c r="AX129" i="3"/>
  <c r="AW129" i="3"/>
  <c r="AV129" i="3"/>
  <c r="AU129" i="3"/>
  <c r="AT129" i="3"/>
  <c r="AS129" i="3"/>
  <c r="AR129" i="3"/>
  <c r="AQ129" i="3"/>
  <c r="AP129" i="3"/>
  <c r="AO129" i="3"/>
  <c r="BY128" i="3"/>
  <c r="BX128" i="3"/>
  <c r="BW128" i="3"/>
  <c r="BV128" i="3"/>
  <c r="BU128" i="3"/>
  <c r="BT128" i="3"/>
  <c r="BS128" i="3"/>
  <c r="BR128" i="3"/>
  <c r="BQ128" i="3"/>
  <c r="BP128" i="3"/>
  <c r="BO128" i="3"/>
  <c r="BN128" i="3"/>
  <c r="BM128" i="3"/>
  <c r="BL128" i="3"/>
  <c r="BK128" i="3"/>
  <c r="BJ128" i="3"/>
  <c r="BI128" i="3"/>
  <c r="BH128" i="3"/>
  <c r="BG128" i="3"/>
  <c r="BF128" i="3"/>
  <c r="BE128" i="3"/>
  <c r="BD128" i="3"/>
  <c r="BC128" i="3"/>
  <c r="BB128" i="3"/>
  <c r="BA128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BY127" i="3"/>
  <c r="BX127" i="3"/>
  <c r="BW127" i="3"/>
  <c r="BV127" i="3"/>
  <c r="BU127" i="3"/>
  <c r="BT127" i="3"/>
  <c r="BS127" i="3"/>
  <c r="BR127" i="3"/>
  <c r="BQ127" i="3"/>
  <c r="BP127" i="3"/>
  <c r="BO127" i="3"/>
  <c r="BN127" i="3"/>
  <c r="BM127" i="3"/>
  <c r="BL127" i="3"/>
  <c r="BK127" i="3"/>
  <c r="BJ127" i="3"/>
  <c r="BI127" i="3"/>
  <c r="BH127" i="3"/>
  <c r="BG127" i="3"/>
  <c r="BF127" i="3"/>
  <c r="BE127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AO127" i="3"/>
  <c r="BY126" i="3"/>
  <c r="BX126" i="3"/>
  <c r="BW126" i="3"/>
  <c r="BV126" i="3"/>
  <c r="BU126" i="3"/>
  <c r="BT126" i="3"/>
  <c r="BS126" i="3"/>
  <c r="BR126" i="3"/>
  <c r="BQ126" i="3"/>
  <c r="BP126" i="3"/>
  <c r="BO126" i="3"/>
  <c r="BN126" i="3"/>
  <c r="BM126" i="3"/>
  <c r="BL126" i="3"/>
  <c r="BK126" i="3"/>
  <c r="BJ126" i="3"/>
  <c r="BI126" i="3"/>
  <c r="BH126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BY125" i="3"/>
  <c r="BX125" i="3"/>
  <c r="BW125" i="3"/>
  <c r="BV125" i="3"/>
  <c r="BU125" i="3"/>
  <c r="BT125" i="3"/>
  <c r="BS125" i="3"/>
  <c r="BR125" i="3"/>
  <c r="BQ125" i="3"/>
  <c r="BP125" i="3"/>
  <c r="BO125" i="3"/>
  <c r="BN125" i="3"/>
  <c r="BM125" i="3"/>
  <c r="BL125" i="3"/>
  <c r="BK125" i="3"/>
  <c r="BJ125" i="3"/>
  <c r="BI125" i="3"/>
  <c r="BH125" i="3"/>
  <c r="BG125" i="3"/>
  <c r="BF125" i="3"/>
  <c r="BE125" i="3"/>
  <c r="BD125" i="3"/>
  <c r="BC125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AP125" i="3"/>
  <c r="AO125" i="3"/>
  <c r="BY124" i="3"/>
  <c r="BX124" i="3"/>
  <c r="BW124" i="3"/>
  <c r="BV124" i="3"/>
  <c r="BU124" i="3"/>
  <c r="BT124" i="3"/>
  <c r="BS124" i="3"/>
  <c r="BR124" i="3"/>
  <c r="BQ124" i="3"/>
  <c r="BP124" i="3"/>
  <c r="BO124" i="3"/>
  <c r="BN124" i="3"/>
  <c r="BM124" i="3"/>
  <c r="BL124" i="3"/>
  <c r="BK124" i="3"/>
  <c r="BJ124" i="3"/>
  <c r="BI124" i="3"/>
  <c r="BH124" i="3"/>
  <c r="BG124" i="3"/>
  <c r="BF124" i="3"/>
  <c r="BE124" i="3"/>
  <c r="BD124" i="3"/>
  <c r="BC124" i="3"/>
  <c r="BB124" i="3"/>
  <c r="BA124" i="3"/>
  <c r="AZ124" i="3"/>
  <c r="AY124" i="3"/>
  <c r="AX124" i="3"/>
  <c r="AW124" i="3"/>
  <c r="AV124" i="3"/>
  <c r="AU124" i="3"/>
  <c r="AT124" i="3"/>
  <c r="AS124" i="3"/>
  <c r="AR124" i="3"/>
  <c r="AQ124" i="3"/>
  <c r="AP124" i="3"/>
  <c r="AO124" i="3"/>
  <c r="BY123" i="3"/>
  <c r="BX123" i="3"/>
  <c r="BW123" i="3"/>
  <c r="BV123" i="3"/>
  <c r="BU123" i="3"/>
  <c r="BT123" i="3"/>
  <c r="BS123" i="3"/>
  <c r="BR123" i="3"/>
  <c r="BQ123" i="3"/>
  <c r="BP123" i="3"/>
  <c r="BO123" i="3"/>
  <c r="BN123" i="3"/>
  <c r="BM123" i="3"/>
  <c r="BL123" i="3"/>
  <c r="BK123" i="3"/>
  <c r="BJ123" i="3"/>
  <c r="BI123" i="3"/>
  <c r="BH123" i="3"/>
  <c r="BG123" i="3"/>
  <c r="BF123" i="3"/>
  <c r="BE123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BY122" i="3"/>
  <c r="BX122" i="3"/>
  <c r="BW122" i="3"/>
  <c r="BV122" i="3"/>
  <c r="BU122" i="3"/>
  <c r="BT122" i="3"/>
  <c r="BS122" i="3"/>
  <c r="BR122" i="3"/>
  <c r="BQ122" i="3"/>
  <c r="BP122" i="3"/>
  <c r="BO122" i="3"/>
  <c r="BN122" i="3"/>
  <c r="BM122" i="3"/>
  <c r="BL122" i="3"/>
  <c r="BK122" i="3"/>
  <c r="BJ122" i="3"/>
  <c r="BI122" i="3"/>
  <c r="BH122" i="3"/>
  <c r="BG122" i="3"/>
  <c r="BF122" i="3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BY121" i="3"/>
  <c r="BX121" i="3"/>
  <c r="BW121" i="3"/>
  <c r="BV121" i="3"/>
  <c r="BU121" i="3"/>
  <c r="BT121" i="3"/>
  <c r="BS121" i="3"/>
  <c r="BR121" i="3"/>
  <c r="BQ121" i="3"/>
  <c r="BP121" i="3"/>
  <c r="BO121" i="3"/>
  <c r="BN121" i="3"/>
  <c r="BM121" i="3"/>
  <c r="BL121" i="3"/>
  <c r="BK121" i="3"/>
  <c r="BJ121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BY120" i="3"/>
  <c r="BX120" i="3"/>
  <c r="BW120" i="3"/>
  <c r="BV120" i="3"/>
  <c r="BU120" i="3"/>
  <c r="BT120" i="3"/>
  <c r="BS120" i="3"/>
  <c r="BR120" i="3"/>
  <c r="BQ120" i="3"/>
  <c r="BP120" i="3"/>
  <c r="BO120" i="3"/>
  <c r="BN120" i="3"/>
  <c r="BM120" i="3"/>
  <c r="BL120" i="3"/>
  <c r="BK120" i="3"/>
  <c r="BJ120" i="3"/>
  <c r="BI120" i="3"/>
  <c r="BH120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BY119" i="3"/>
  <c r="BX119" i="3"/>
  <c r="BW119" i="3"/>
  <c r="BV119" i="3"/>
  <c r="BU119" i="3"/>
  <c r="BT119" i="3"/>
  <c r="BS119" i="3"/>
  <c r="BR119" i="3"/>
  <c r="BQ119" i="3"/>
  <c r="BP119" i="3"/>
  <c r="BO119" i="3"/>
  <c r="BN119" i="3"/>
  <c r="BM119" i="3"/>
  <c r="BL119" i="3"/>
  <c r="BK119" i="3"/>
  <c r="BJ119" i="3"/>
  <c r="BI119" i="3"/>
  <c r="BH119" i="3"/>
  <c r="BG119" i="3"/>
  <c r="BF119" i="3"/>
  <c r="BE119" i="3"/>
  <c r="BD119" i="3"/>
  <c r="BC119" i="3"/>
  <c r="BB119" i="3"/>
  <c r="BA119" i="3"/>
  <c r="AZ119" i="3"/>
  <c r="AY119" i="3"/>
  <c r="AX119" i="3"/>
  <c r="AW119" i="3"/>
  <c r="AV119" i="3"/>
  <c r="AU119" i="3"/>
  <c r="AT119" i="3"/>
  <c r="AS119" i="3"/>
  <c r="AR119" i="3"/>
  <c r="AQ119" i="3"/>
  <c r="AP119" i="3"/>
  <c r="AO119" i="3"/>
  <c r="BY118" i="3"/>
  <c r="BX118" i="3"/>
  <c r="BW118" i="3"/>
  <c r="BV118" i="3"/>
  <c r="BU118" i="3"/>
  <c r="BT118" i="3"/>
  <c r="BS118" i="3"/>
  <c r="BR118" i="3"/>
  <c r="BQ118" i="3"/>
  <c r="BP118" i="3"/>
  <c r="BO118" i="3"/>
  <c r="BN118" i="3"/>
  <c r="BM118" i="3"/>
  <c r="BL118" i="3"/>
  <c r="BK118" i="3"/>
  <c r="BJ118" i="3"/>
  <c r="BI118" i="3"/>
  <c r="BH118" i="3"/>
  <c r="BG118" i="3"/>
  <c r="BF118" i="3"/>
  <c r="BE118" i="3"/>
  <c r="BD118" i="3"/>
  <c r="BC118" i="3"/>
  <c r="BB118" i="3"/>
  <c r="BA118" i="3"/>
  <c r="AZ118" i="3"/>
  <c r="AY118" i="3"/>
  <c r="AX118" i="3"/>
  <c r="AW118" i="3"/>
  <c r="AV118" i="3"/>
  <c r="AU118" i="3"/>
  <c r="AT118" i="3"/>
  <c r="AS118" i="3"/>
  <c r="AR118" i="3"/>
  <c r="AQ118" i="3"/>
  <c r="AP118" i="3"/>
  <c r="AO118" i="3"/>
  <c r="BY117" i="3"/>
  <c r="BX117" i="3"/>
  <c r="BW117" i="3"/>
  <c r="BV117" i="3"/>
  <c r="BU117" i="3"/>
  <c r="BT117" i="3"/>
  <c r="BS117" i="3"/>
  <c r="BR117" i="3"/>
  <c r="BQ117" i="3"/>
  <c r="BP117" i="3"/>
  <c r="BO117" i="3"/>
  <c r="BN117" i="3"/>
  <c r="BM117" i="3"/>
  <c r="BL117" i="3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BY116" i="3"/>
  <c r="BX116" i="3"/>
  <c r="BW116" i="3"/>
  <c r="BV116" i="3"/>
  <c r="BU116" i="3"/>
  <c r="BT116" i="3"/>
  <c r="BS116" i="3"/>
  <c r="BR116" i="3"/>
  <c r="BQ116" i="3"/>
  <c r="BP116" i="3"/>
  <c r="BO116" i="3"/>
  <c r="BN116" i="3"/>
  <c r="BM116" i="3"/>
  <c r="BL116" i="3"/>
  <c r="BK116" i="3"/>
  <c r="BJ116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BY115" i="3"/>
  <c r="BX115" i="3"/>
  <c r="BW115" i="3"/>
  <c r="BV115" i="3"/>
  <c r="BU115" i="3"/>
  <c r="BT115" i="3"/>
  <c r="BS115" i="3"/>
  <c r="BR115" i="3"/>
  <c r="BQ115" i="3"/>
  <c r="BP115" i="3"/>
  <c r="BO115" i="3"/>
  <c r="BN115" i="3"/>
  <c r="BM115" i="3"/>
  <c r="BL115" i="3"/>
  <c r="BK115" i="3"/>
  <c r="BJ115" i="3"/>
  <c r="BI115" i="3"/>
  <c r="BH115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BY114" i="3"/>
  <c r="BX114" i="3"/>
  <c r="BW114" i="3"/>
  <c r="BV114" i="3"/>
  <c r="BU114" i="3"/>
  <c r="BT114" i="3"/>
  <c r="BS114" i="3"/>
  <c r="BR114" i="3"/>
  <c r="BQ114" i="3"/>
  <c r="BP114" i="3"/>
  <c r="BO114" i="3"/>
  <c r="BN114" i="3"/>
  <c r="BM114" i="3"/>
  <c r="BL114" i="3"/>
  <c r="BK114" i="3"/>
  <c r="BJ114" i="3"/>
  <c r="BI114" i="3"/>
  <c r="BH114" i="3"/>
  <c r="BG114" i="3"/>
  <c r="BF114" i="3"/>
  <c r="BE114" i="3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BY112" i="3"/>
  <c r="BX112" i="3"/>
  <c r="BW112" i="3"/>
  <c r="BV112" i="3"/>
  <c r="BU112" i="3"/>
  <c r="BT112" i="3"/>
  <c r="BS112" i="3"/>
  <c r="BR112" i="3"/>
  <c r="BQ112" i="3"/>
  <c r="BP112" i="3"/>
  <c r="BO112" i="3"/>
  <c r="BN112" i="3"/>
  <c r="BM112" i="3"/>
  <c r="BL112" i="3"/>
  <c r="BK112" i="3"/>
  <c r="BJ112" i="3"/>
  <c r="BI112" i="3"/>
  <c r="BH112" i="3"/>
  <c r="BG112" i="3"/>
  <c r="BF112" i="3"/>
  <c r="BE112" i="3"/>
  <c r="BD112" i="3"/>
  <c r="BC112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AO112" i="3"/>
  <c r="BY111" i="3"/>
  <c r="BX111" i="3"/>
  <c r="BW111" i="3"/>
  <c r="BV111" i="3"/>
  <c r="BU111" i="3"/>
  <c r="BT111" i="3"/>
  <c r="BS111" i="3"/>
  <c r="BR111" i="3"/>
  <c r="BQ111" i="3"/>
  <c r="BP111" i="3"/>
  <c r="BO111" i="3"/>
  <c r="BN111" i="3"/>
  <c r="BM111" i="3"/>
  <c r="BL111" i="3"/>
  <c r="BK111" i="3"/>
  <c r="BJ111" i="3"/>
  <c r="BI111" i="3"/>
  <c r="BH111" i="3"/>
  <c r="BG111" i="3"/>
  <c r="BF111" i="3"/>
  <c r="BE111" i="3"/>
  <c r="BD111" i="3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BY110" i="3"/>
  <c r="BX110" i="3"/>
  <c r="BW110" i="3"/>
  <c r="BV110" i="3"/>
  <c r="BU110" i="3"/>
  <c r="BT110" i="3"/>
  <c r="BS110" i="3"/>
  <c r="BR110" i="3"/>
  <c r="BQ110" i="3"/>
  <c r="BP110" i="3"/>
  <c r="BO110" i="3"/>
  <c r="BN110" i="3"/>
  <c r="BM110" i="3"/>
  <c r="BL110" i="3"/>
  <c r="BK110" i="3"/>
  <c r="BJ110" i="3"/>
  <c r="BI110" i="3"/>
  <c r="BH110" i="3"/>
  <c r="BG110" i="3"/>
  <c r="BF110" i="3"/>
  <c r="BE110" i="3"/>
  <c r="BD110" i="3"/>
  <c r="BC110" i="3"/>
  <c r="BB110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AO110" i="3"/>
  <c r="BY109" i="3"/>
  <c r="BX109" i="3"/>
  <c r="BW109" i="3"/>
  <c r="BV109" i="3"/>
  <c r="BU109" i="3"/>
  <c r="BT109" i="3"/>
  <c r="BS109" i="3"/>
  <c r="BR109" i="3"/>
  <c r="BQ109" i="3"/>
  <c r="BP109" i="3"/>
  <c r="BO109" i="3"/>
  <c r="BN109" i="3"/>
  <c r="BM109" i="3"/>
  <c r="BL109" i="3"/>
  <c r="BK109" i="3"/>
  <c r="BJ109" i="3"/>
  <c r="BI109" i="3"/>
  <c r="BH109" i="3"/>
  <c r="BG109" i="3"/>
  <c r="BF109" i="3"/>
  <c r="BE109" i="3"/>
  <c r="BD109" i="3"/>
  <c r="BC109" i="3"/>
  <c r="BB109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BY108" i="3"/>
  <c r="BX108" i="3"/>
  <c r="BW108" i="3"/>
  <c r="BV108" i="3"/>
  <c r="BU108" i="3"/>
  <c r="BT108" i="3"/>
  <c r="BS108" i="3"/>
  <c r="BR108" i="3"/>
  <c r="BQ108" i="3"/>
  <c r="BP108" i="3"/>
  <c r="BO108" i="3"/>
  <c r="BN108" i="3"/>
  <c r="BM108" i="3"/>
  <c r="BL108" i="3"/>
  <c r="BK108" i="3"/>
  <c r="BJ108" i="3"/>
  <c r="BI108" i="3"/>
  <c r="BH108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BY107" i="3"/>
  <c r="BX107" i="3"/>
  <c r="BW107" i="3"/>
  <c r="BV107" i="3"/>
  <c r="BU107" i="3"/>
  <c r="BT107" i="3"/>
  <c r="BS107" i="3"/>
  <c r="BR107" i="3"/>
  <c r="BQ107" i="3"/>
  <c r="BP107" i="3"/>
  <c r="BO107" i="3"/>
  <c r="BN107" i="3"/>
  <c r="BM107" i="3"/>
  <c r="BL107" i="3"/>
  <c r="BK107" i="3"/>
  <c r="BJ107" i="3"/>
  <c r="BI107" i="3"/>
  <c r="BH107" i="3"/>
  <c r="BG107" i="3"/>
  <c r="BF107" i="3"/>
  <c r="BE107" i="3"/>
  <c r="BD107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BY106" i="3"/>
  <c r="BX106" i="3"/>
  <c r="BW106" i="3"/>
  <c r="BV106" i="3"/>
  <c r="BU106" i="3"/>
  <c r="BT106" i="3"/>
  <c r="BS106" i="3"/>
  <c r="BR106" i="3"/>
  <c r="BQ106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BY105" i="3"/>
  <c r="BX105" i="3"/>
  <c r="BW105" i="3"/>
  <c r="BV105" i="3"/>
  <c r="BU105" i="3"/>
  <c r="BT105" i="3"/>
  <c r="BS105" i="3"/>
  <c r="BR105" i="3"/>
  <c r="BQ105" i="3"/>
  <c r="BP105" i="3"/>
  <c r="BO105" i="3"/>
  <c r="BN105" i="3"/>
  <c r="BM105" i="3"/>
  <c r="BL105" i="3"/>
  <c r="BK105" i="3"/>
  <c r="BJ105" i="3"/>
  <c r="BI105" i="3"/>
  <c r="BH105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BY104" i="3"/>
  <c r="BX104" i="3"/>
  <c r="BW104" i="3"/>
  <c r="BV104" i="3"/>
  <c r="BU104" i="3"/>
  <c r="BT104" i="3"/>
  <c r="BS104" i="3"/>
  <c r="BR104" i="3"/>
  <c r="BQ104" i="3"/>
  <c r="BP104" i="3"/>
  <c r="BO104" i="3"/>
  <c r="BN104" i="3"/>
  <c r="BM104" i="3"/>
  <c r="BL104" i="3"/>
  <c r="BK104" i="3"/>
  <c r="BJ104" i="3"/>
  <c r="BI104" i="3"/>
  <c r="BH104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AO104" i="3"/>
  <c r="BY103" i="3"/>
  <c r="BX103" i="3"/>
  <c r="BW103" i="3"/>
  <c r="BV103" i="3"/>
  <c r="BU103" i="3"/>
  <c r="BT103" i="3"/>
  <c r="BS103" i="3"/>
  <c r="BR103" i="3"/>
  <c r="BQ103" i="3"/>
  <c r="BP103" i="3"/>
  <c r="BO103" i="3"/>
  <c r="BN103" i="3"/>
  <c r="BM103" i="3"/>
  <c r="BL103" i="3"/>
  <c r="BK103" i="3"/>
  <c r="BJ103" i="3"/>
  <c r="BI103" i="3"/>
  <c r="BH103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BY102" i="3"/>
  <c r="BX102" i="3"/>
  <c r="BW102" i="3"/>
  <c r="BV102" i="3"/>
  <c r="BU102" i="3"/>
  <c r="BT102" i="3"/>
  <c r="BS102" i="3"/>
  <c r="BR102" i="3"/>
  <c r="BQ102" i="3"/>
  <c r="BP102" i="3"/>
  <c r="BO102" i="3"/>
  <c r="BN102" i="3"/>
  <c r="BM102" i="3"/>
  <c r="BL102" i="3"/>
  <c r="BK102" i="3"/>
  <c r="BJ102" i="3"/>
  <c r="BI102" i="3"/>
  <c r="BH102" i="3"/>
  <c r="BG102" i="3"/>
  <c r="BF102" i="3"/>
  <c r="BE102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BY101" i="3"/>
  <c r="BX101" i="3"/>
  <c r="BW101" i="3"/>
  <c r="BV101" i="3"/>
  <c r="BU101" i="3"/>
  <c r="BT101" i="3"/>
  <c r="BS101" i="3"/>
  <c r="BR101" i="3"/>
  <c r="BQ101" i="3"/>
  <c r="BP101" i="3"/>
  <c r="BO101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BY100" i="3"/>
  <c r="BX100" i="3"/>
  <c r="BW100" i="3"/>
  <c r="BV100" i="3"/>
  <c r="BU100" i="3"/>
  <c r="BT100" i="3"/>
  <c r="BS100" i="3"/>
  <c r="BR100" i="3"/>
  <c r="BQ100" i="3"/>
  <c r="BP100" i="3"/>
  <c r="BO100" i="3"/>
  <c r="BN100" i="3"/>
  <c r="BM100" i="3"/>
  <c r="BL100" i="3"/>
  <c r="BK100" i="3"/>
  <c r="BJ100" i="3"/>
  <c r="BI100" i="3"/>
  <c r="BH100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BY99" i="3"/>
  <c r="BX99" i="3"/>
  <c r="BW99" i="3"/>
  <c r="BV99" i="3"/>
  <c r="BU99" i="3"/>
  <c r="BT99" i="3"/>
  <c r="BS99" i="3"/>
  <c r="BR99" i="3"/>
  <c r="BQ99" i="3"/>
  <c r="BP99" i="3"/>
  <c r="BO99" i="3"/>
  <c r="BN99" i="3"/>
  <c r="BM99" i="3"/>
  <c r="BL99" i="3"/>
  <c r="BK99" i="3"/>
  <c r="BJ99" i="3"/>
  <c r="BI99" i="3"/>
  <c r="BH99" i="3"/>
  <c r="BG99" i="3"/>
  <c r="BF99" i="3"/>
  <c r="BE99" i="3"/>
  <c r="BD99" i="3"/>
  <c r="BC99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BY98" i="3"/>
  <c r="BX98" i="3"/>
  <c r="BW98" i="3"/>
  <c r="BV98" i="3"/>
  <c r="BU98" i="3"/>
  <c r="BT98" i="3"/>
  <c r="BS98" i="3"/>
  <c r="BR98" i="3"/>
  <c r="BQ98" i="3"/>
  <c r="BP98" i="3"/>
  <c r="BO98" i="3"/>
  <c r="BN98" i="3"/>
  <c r="BM98" i="3"/>
  <c r="BL98" i="3"/>
  <c r="BK98" i="3"/>
  <c r="BJ98" i="3"/>
  <c r="BI98" i="3"/>
  <c r="BH98" i="3"/>
  <c r="BG98" i="3"/>
  <c r="BF98" i="3"/>
  <c r="BE98" i="3"/>
  <c r="BD98" i="3"/>
  <c r="BC98" i="3"/>
  <c r="BB98" i="3"/>
  <c r="BA98" i="3"/>
  <c r="AZ98" i="3"/>
  <c r="AY98" i="3"/>
  <c r="AX98" i="3"/>
  <c r="AW98" i="3"/>
  <c r="AV98" i="3"/>
  <c r="AU98" i="3"/>
  <c r="AT98" i="3"/>
  <c r="AS98" i="3"/>
  <c r="AR98" i="3"/>
  <c r="AQ98" i="3"/>
  <c r="AP98" i="3"/>
  <c r="AO98" i="3"/>
  <c r="BY97" i="3"/>
  <c r="BX97" i="3"/>
  <c r="BW97" i="3"/>
  <c r="BV97" i="3"/>
  <c r="BU97" i="3"/>
  <c r="BT97" i="3"/>
  <c r="BS97" i="3"/>
  <c r="BR97" i="3"/>
  <c r="BQ97" i="3"/>
  <c r="BP97" i="3"/>
  <c r="BO97" i="3"/>
  <c r="BN97" i="3"/>
  <c r="BM97" i="3"/>
  <c r="BL97" i="3"/>
  <c r="BK97" i="3"/>
  <c r="BJ97" i="3"/>
  <c r="BI97" i="3"/>
  <c r="BH97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BY96" i="3"/>
  <c r="BX96" i="3"/>
  <c r="BW96" i="3"/>
  <c r="BV96" i="3"/>
  <c r="BU96" i="3"/>
  <c r="BT96" i="3"/>
  <c r="BS96" i="3"/>
  <c r="BR96" i="3"/>
  <c r="BQ96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BY95" i="3"/>
  <c r="BX95" i="3"/>
  <c r="BW95" i="3"/>
  <c r="BV95" i="3"/>
  <c r="BU95" i="3"/>
  <c r="BT95" i="3"/>
  <c r="BS95" i="3"/>
  <c r="BR95" i="3"/>
  <c r="BQ95" i="3"/>
  <c r="BP95" i="3"/>
  <c r="BO95" i="3"/>
  <c r="BN95" i="3"/>
  <c r="BM95" i="3"/>
  <c r="BL95" i="3"/>
  <c r="BK95" i="3"/>
  <c r="BJ95" i="3"/>
  <c r="BI95" i="3"/>
  <c r="BH95" i="3"/>
  <c r="BG95" i="3"/>
  <c r="BF95" i="3"/>
  <c r="BE95" i="3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AO95" i="3"/>
  <c r="BY94" i="3"/>
  <c r="BX94" i="3"/>
  <c r="BW94" i="3"/>
  <c r="BV94" i="3"/>
  <c r="BU94" i="3"/>
  <c r="BT94" i="3"/>
  <c r="BS94" i="3"/>
  <c r="BR94" i="3"/>
  <c r="BQ94" i="3"/>
  <c r="BP94" i="3"/>
  <c r="BO94" i="3"/>
  <c r="BN94" i="3"/>
  <c r="BM94" i="3"/>
  <c r="BL94" i="3"/>
  <c r="BK94" i="3"/>
  <c r="BJ94" i="3"/>
  <c r="BI94" i="3"/>
  <c r="BH94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BY93" i="3"/>
  <c r="BX93" i="3"/>
  <c r="BW93" i="3"/>
  <c r="BV93" i="3"/>
  <c r="BU93" i="3"/>
  <c r="BT93" i="3"/>
  <c r="BS93" i="3"/>
  <c r="BR93" i="3"/>
  <c r="BQ93" i="3"/>
  <c r="BP93" i="3"/>
  <c r="BO93" i="3"/>
  <c r="BN93" i="3"/>
  <c r="BM93" i="3"/>
  <c r="BL93" i="3"/>
  <c r="BK93" i="3"/>
  <c r="BJ93" i="3"/>
  <c r="BI93" i="3"/>
  <c r="BH93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BY88" i="3" l="1"/>
  <c r="BX88" i="3"/>
  <c r="BW88" i="3"/>
  <c r="BV88" i="3"/>
  <c r="BU88" i="3"/>
  <c r="BT88" i="3"/>
  <c r="BS88" i="3"/>
  <c r="BR88" i="3"/>
  <c r="BQ88" i="3"/>
  <c r="BP88" i="3"/>
  <c r="BO88" i="3"/>
  <c r="BN88" i="3"/>
  <c r="BM88" i="3"/>
  <c r="BL88" i="3"/>
  <c r="BK88" i="3"/>
  <c r="BJ88" i="3"/>
  <c r="BI88" i="3"/>
  <c r="BH88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BY87" i="3"/>
  <c r="BX87" i="3"/>
  <c r="BW87" i="3"/>
  <c r="BV87" i="3"/>
  <c r="BU87" i="3"/>
  <c r="BT87" i="3"/>
  <c r="BS87" i="3"/>
  <c r="BR87" i="3"/>
  <c r="BQ87" i="3"/>
  <c r="BP87" i="3"/>
  <c r="BO87" i="3"/>
  <c r="BN87" i="3"/>
  <c r="BM87" i="3"/>
  <c r="BL87" i="3"/>
  <c r="BK87" i="3"/>
  <c r="BJ87" i="3"/>
  <c r="BI87" i="3"/>
  <c r="BH87" i="3"/>
  <c r="BG87" i="3"/>
  <c r="BF87" i="3"/>
  <c r="BE87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BY86" i="3"/>
  <c r="BX86" i="3"/>
  <c r="BW86" i="3"/>
  <c r="BV86" i="3"/>
  <c r="BU86" i="3"/>
  <c r="BT86" i="3"/>
  <c r="BS86" i="3"/>
  <c r="BR86" i="3"/>
  <c r="BQ86" i="3"/>
  <c r="BP86" i="3"/>
  <c r="BO86" i="3"/>
  <c r="BN86" i="3"/>
  <c r="BM86" i="3"/>
  <c r="BL86" i="3"/>
  <c r="BK86" i="3"/>
  <c r="BJ86" i="3"/>
  <c r="BI86" i="3"/>
  <c r="BH86" i="3"/>
  <c r="BG86" i="3"/>
  <c r="BF86" i="3"/>
  <c r="BE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BY85" i="3"/>
  <c r="BX85" i="3"/>
  <c r="BW85" i="3"/>
  <c r="BV85" i="3"/>
  <c r="BU85" i="3"/>
  <c r="BT85" i="3"/>
  <c r="BS85" i="3"/>
  <c r="BR85" i="3"/>
  <c r="BQ85" i="3"/>
  <c r="BP85" i="3"/>
  <c r="BO85" i="3"/>
  <c r="BN85" i="3"/>
  <c r="BM85" i="3"/>
  <c r="BL85" i="3"/>
  <c r="BK85" i="3"/>
  <c r="BJ85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BY84" i="3"/>
  <c r="BX84" i="3"/>
  <c r="BW84" i="3"/>
  <c r="BV84" i="3"/>
  <c r="BU84" i="3"/>
  <c r="BT84" i="3"/>
  <c r="BS84" i="3"/>
  <c r="BR84" i="3"/>
  <c r="BQ84" i="3"/>
  <c r="BP84" i="3"/>
  <c r="BO84" i="3"/>
  <c r="BN84" i="3"/>
  <c r="BM84" i="3"/>
  <c r="BL84" i="3"/>
  <c r="BK84" i="3"/>
  <c r="BJ84" i="3"/>
  <c r="BI84" i="3"/>
  <c r="BH84" i="3"/>
  <c r="BG84" i="3"/>
  <c r="BF84" i="3"/>
  <c r="BE84" i="3"/>
  <c r="BD84" i="3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BY83" i="3"/>
  <c r="BX83" i="3"/>
  <c r="BW83" i="3"/>
  <c r="BV83" i="3"/>
  <c r="BU83" i="3"/>
  <c r="BT83" i="3"/>
  <c r="BS83" i="3"/>
  <c r="BR83" i="3"/>
  <c r="BQ83" i="3"/>
  <c r="BP83" i="3"/>
  <c r="BO83" i="3"/>
  <c r="BN83" i="3"/>
  <c r="BM83" i="3"/>
  <c r="BL83" i="3"/>
  <c r="BK83" i="3"/>
  <c r="BJ83" i="3"/>
  <c r="BI83" i="3"/>
  <c r="BH83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BY82" i="3"/>
  <c r="BX82" i="3"/>
  <c r="BW82" i="3"/>
  <c r="BV82" i="3"/>
  <c r="BU82" i="3"/>
  <c r="BT82" i="3"/>
  <c r="BS82" i="3"/>
  <c r="BR82" i="3"/>
  <c r="BQ82" i="3"/>
  <c r="BP82" i="3"/>
  <c r="BO82" i="3"/>
  <c r="BN82" i="3"/>
  <c r="BM82" i="3"/>
  <c r="BL82" i="3"/>
  <c r="BK82" i="3"/>
  <c r="BJ82" i="3"/>
  <c r="BI82" i="3"/>
  <c r="BH82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BY81" i="3"/>
  <c r="BX81" i="3"/>
  <c r="BW81" i="3"/>
  <c r="BV81" i="3"/>
  <c r="BU81" i="3"/>
  <c r="BT81" i="3"/>
  <c r="BS81" i="3"/>
  <c r="BR81" i="3"/>
  <c r="BQ81" i="3"/>
  <c r="BP81" i="3"/>
  <c r="BO81" i="3"/>
  <c r="BN81" i="3"/>
  <c r="BM81" i="3"/>
  <c r="BL81" i="3"/>
  <c r="BK81" i="3"/>
  <c r="BJ81" i="3"/>
  <c r="BI81" i="3"/>
  <c r="BH81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BY80" i="3"/>
  <c r="BX80" i="3"/>
  <c r="BW80" i="3"/>
  <c r="BV80" i="3"/>
  <c r="BU80" i="3"/>
  <c r="BT80" i="3"/>
  <c r="BS80" i="3"/>
  <c r="BR80" i="3"/>
  <c r="BQ80" i="3"/>
  <c r="BP80" i="3"/>
  <c r="BO80" i="3"/>
  <c r="BN80" i="3"/>
  <c r="BM80" i="3"/>
  <c r="BL80" i="3"/>
  <c r="BK80" i="3"/>
  <c r="BJ80" i="3"/>
  <c r="BI80" i="3"/>
  <c r="BH80" i="3"/>
  <c r="BG80" i="3"/>
  <c r="BF80" i="3"/>
  <c r="BE80" i="3"/>
  <c r="BD80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BY79" i="3"/>
  <c r="BX79" i="3"/>
  <c r="BW79" i="3"/>
  <c r="BV79" i="3"/>
  <c r="BU79" i="3"/>
  <c r="BT79" i="3"/>
  <c r="BS79" i="3"/>
  <c r="BR79" i="3"/>
  <c r="BQ79" i="3"/>
  <c r="BP79" i="3"/>
  <c r="BO79" i="3"/>
  <c r="BN79" i="3"/>
  <c r="BM79" i="3"/>
  <c r="BL79" i="3"/>
  <c r="BK79" i="3"/>
  <c r="BJ79" i="3"/>
  <c r="BI79" i="3"/>
  <c r="BH79" i="3"/>
  <c r="BG79" i="3"/>
  <c r="BF79" i="3"/>
  <c r="BE79" i="3"/>
  <c r="BD79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BY78" i="3"/>
  <c r="BX78" i="3"/>
  <c r="BW78" i="3"/>
  <c r="BV78" i="3"/>
  <c r="BU78" i="3"/>
  <c r="BT78" i="3"/>
  <c r="BS78" i="3"/>
  <c r="BR78" i="3"/>
  <c r="BQ78" i="3"/>
  <c r="BP78" i="3"/>
  <c r="BO78" i="3"/>
  <c r="BN78" i="3"/>
  <c r="BM78" i="3"/>
  <c r="BL78" i="3"/>
  <c r="BK78" i="3"/>
  <c r="BJ78" i="3"/>
  <c r="BI78" i="3"/>
  <c r="BH78" i="3"/>
  <c r="BG78" i="3"/>
  <c r="BF78" i="3"/>
  <c r="BE78" i="3"/>
  <c r="BD78" i="3"/>
  <c r="BC78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BY77" i="3"/>
  <c r="BX77" i="3"/>
  <c r="BW77" i="3"/>
  <c r="BV77" i="3"/>
  <c r="BU77" i="3"/>
  <c r="BT77" i="3"/>
  <c r="BS77" i="3"/>
  <c r="BR77" i="3"/>
  <c r="BQ77" i="3"/>
  <c r="BP77" i="3"/>
  <c r="BO77" i="3"/>
  <c r="BN77" i="3"/>
  <c r="BM77" i="3"/>
  <c r="BL77" i="3"/>
  <c r="BK77" i="3"/>
  <c r="BJ77" i="3"/>
  <c r="BI77" i="3"/>
  <c r="BH77" i="3"/>
  <c r="BG77" i="3"/>
  <c r="BF77" i="3"/>
  <c r="BE77" i="3"/>
  <c r="BD77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AO77" i="3"/>
  <c r="BY76" i="3"/>
  <c r="BX76" i="3"/>
  <c r="BW76" i="3"/>
  <c r="BV76" i="3"/>
  <c r="BU76" i="3"/>
  <c r="BT76" i="3"/>
  <c r="BS76" i="3"/>
  <c r="BR76" i="3"/>
  <c r="BQ76" i="3"/>
  <c r="BP76" i="3"/>
  <c r="BO76" i="3"/>
  <c r="BN76" i="3"/>
  <c r="BM76" i="3"/>
  <c r="BL76" i="3"/>
  <c r="BK76" i="3"/>
  <c r="BJ76" i="3"/>
  <c r="BI76" i="3"/>
  <c r="BH76" i="3"/>
  <c r="BG76" i="3"/>
  <c r="BF76" i="3"/>
  <c r="BE76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BY75" i="3"/>
  <c r="BX75" i="3"/>
  <c r="BW75" i="3"/>
  <c r="BV75" i="3"/>
  <c r="BU75" i="3"/>
  <c r="BT75" i="3"/>
  <c r="BS75" i="3"/>
  <c r="BR75" i="3"/>
  <c r="BQ75" i="3"/>
  <c r="BP75" i="3"/>
  <c r="BO75" i="3"/>
  <c r="BN75" i="3"/>
  <c r="BM75" i="3"/>
  <c r="BL75" i="3"/>
  <c r="BK75" i="3"/>
  <c r="BJ75" i="3"/>
  <c r="BI75" i="3"/>
  <c r="BH75" i="3"/>
  <c r="BG75" i="3"/>
  <c r="BF75" i="3"/>
  <c r="BE75" i="3"/>
  <c r="BD75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AO75" i="3"/>
  <c r="BY74" i="3"/>
  <c r="BX74" i="3"/>
  <c r="BW74" i="3"/>
  <c r="BV74" i="3"/>
  <c r="BU74" i="3"/>
  <c r="BT74" i="3"/>
  <c r="BS74" i="3"/>
  <c r="BR74" i="3"/>
  <c r="BQ74" i="3"/>
  <c r="BP74" i="3"/>
  <c r="BO74" i="3"/>
  <c r="BN74" i="3"/>
  <c r="BM74" i="3"/>
  <c r="BL74" i="3"/>
  <c r="BK74" i="3"/>
  <c r="BJ74" i="3"/>
  <c r="BI74" i="3"/>
  <c r="BH74" i="3"/>
  <c r="BG74" i="3"/>
  <c r="BF74" i="3"/>
  <c r="BE74" i="3"/>
  <c r="BD74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BY73" i="3"/>
  <c r="BX73" i="3"/>
  <c r="BW73" i="3"/>
  <c r="BV73" i="3"/>
  <c r="BU73" i="3"/>
  <c r="BT73" i="3"/>
  <c r="BS73" i="3"/>
  <c r="BR73" i="3"/>
  <c r="BQ73" i="3"/>
  <c r="BP73" i="3"/>
  <c r="BO73" i="3"/>
  <c r="BN73" i="3"/>
  <c r="BM73" i="3"/>
  <c r="BL73" i="3"/>
  <c r="BK73" i="3"/>
  <c r="BJ73" i="3"/>
  <c r="BI73" i="3"/>
  <c r="BH73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BY72" i="3"/>
  <c r="BX72" i="3"/>
  <c r="BW72" i="3"/>
  <c r="BV72" i="3"/>
  <c r="BU72" i="3"/>
  <c r="BT72" i="3"/>
  <c r="BS72" i="3"/>
  <c r="BR72" i="3"/>
  <c r="BQ72" i="3"/>
  <c r="BP72" i="3"/>
  <c r="BO72" i="3"/>
  <c r="BN72" i="3"/>
  <c r="BM72" i="3"/>
  <c r="BL72" i="3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BY71" i="3"/>
  <c r="BX71" i="3"/>
  <c r="BW71" i="3"/>
  <c r="BV71" i="3"/>
  <c r="BU71" i="3"/>
  <c r="BT71" i="3"/>
  <c r="BS71" i="3"/>
  <c r="BR71" i="3"/>
  <c r="BQ71" i="3"/>
  <c r="BP71" i="3"/>
  <c r="BO71" i="3"/>
  <c r="BN71" i="3"/>
  <c r="BM71" i="3"/>
  <c r="BL71" i="3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BY70" i="3"/>
  <c r="BX70" i="3"/>
  <c r="BW70" i="3"/>
  <c r="BV70" i="3"/>
  <c r="BU70" i="3"/>
  <c r="BT70" i="3"/>
  <c r="BS70" i="3"/>
  <c r="BR70" i="3"/>
  <c r="BQ70" i="3"/>
  <c r="BP70" i="3"/>
  <c r="BO70" i="3"/>
  <c r="BN70" i="3"/>
  <c r="BM70" i="3"/>
  <c r="BL70" i="3"/>
  <c r="BK70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BY69" i="3"/>
  <c r="BX69" i="3"/>
  <c r="BW69" i="3"/>
  <c r="BV69" i="3"/>
  <c r="BU69" i="3"/>
  <c r="BT69" i="3"/>
  <c r="BS69" i="3"/>
  <c r="BR69" i="3"/>
  <c r="BQ69" i="3"/>
  <c r="BP69" i="3"/>
  <c r="BO69" i="3"/>
  <c r="BN69" i="3"/>
  <c r="BN89" i="3" s="1"/>
  <c r="BM69" i="3"/>
  <c r="BL69" i="3"/>
  <c r="BK69" i="3"/>
  <c r="BJ69" i="3"/>
  <c r="BI69" i="3"/>
  <c r="BH69" i="3"/>
  <c r="BG69" i="3"/>
  <c r="BF69" i="3"/>
  <c r="BE69" i="3"/>
  <c r="BD69" i="3"/>
  <c r="BC69" i="3"/>
  <c r="BC89" i="3" s="1"/>
  <c r="BB69" i="3"/>
  <c r="BB89" i="3" s="1"/>
  <c r="BA69" i="3"/>
  <c r="AZ69" i="3"/>
  <c r="AY69" i="3"/>
  <c r="AX69" i="3"/>
  <c r="AW69" i="3"/>
  <c r="AV69" i="3"/>
  <c r="AU69" i="3"/>
  <c r="AT69" i="3"/>
  <c r="AS69" i="3"/>
  <c r="AR69" i="3"/>
  <c r="AQ69" i="3"/>
  <c r="AP69" i="3"/>
  <c r="AP89" i="3" s="1"/>
  <c r="AO69" i="3"/>
  <c r="BY67" i="3"/>
  <c r="BX67" i="3"/>
  <c r="BW67" i="3"/>
  <c r="BV67" i="3"/>
  <c r="BU67" i="3"/>
  <c r="BT67" i="3"/>
  <c r="BS67" i="3"/>
  <c r="BR67" i="3"/>
  <c r="BQ67" i="3"/>
  <c r="BP67" i="3"/>
  <c r="BO67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BY65" i="3"/>
  <c r="BX65" i="3"/>
  <c r="BW65" i="3"/>
  <c r="BV65" i="3"/>
  <c r="BU65" i="3"/>
  <c r="BT65" i="3"/>
  <c r="BS65" i="3"/>
  <c r="BR65" i="3"/>
  <c r="BQ65" i="3"/>
  <c r="BP65" i="3"/>
  <c r="BO65" i="3"/>
  <c r="BN65" i="3"/>
  <c r="BM65" i="3"/>
  <c r="BL65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BY64" i="3"/>
  <c r="BX64" i="3"/>
  <c r="BW64" i="3"/>
  <c r="BV64" i="3"/>
  <c r="BU64" i="3"/>
  <c r="BT64" i="3"/>
  <c r="BS64" i="3"/>
  <c r="BR64" i="3"/>
  <c r="BQ64" i="3"/>
  <c r="BP64" i="3"/>
  <c r="BO64" i="3"/>
  <c r="BN64" i="3"/>
  <c r="BM64" i="3"/>
  <c r="BL64" i="3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BY63" i="3"/>
  <c r="BX63" i="3"/>
  <c r="BW63" i="3"/>
  <c r="BV63" i="3"/>
  <c r="BU63" i="3"/>
  <c r="BT63" i="3"/>
  <c r="BS63" i="3"/>
  <c r="BR63" i="3"/>
  <c r="BQ63" i="3"/>
  <c r="BP63" i="3"/>
  <c r="BO63" i="3"/>
  <c r="BN63" i="3"/>
  <c r="BM63" i="3"/>
  <c r="BL63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BY62" i="3"/>
  <c r="BX62" i="3"/>
  <c r="BW62" i="3"/>
  <c r="BV62" i="3"/>
  <c r="BU62" i="3"/>
  <c r="BT62" i="3"/>
  <c r="BS62" i="3"/>
  <c r="BR62" i="3"/>
  <c r="BQ62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BM61" i="3"/>
  <c r="BL61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BY58" i="3"/>
  <c r="BX58" i="3"/>
  <c r="BW58" i="3"/>
  <c r="BV58" i="3"/>
  <c r="BU58" i="3"/>
  <c r="BT58" i="3"/>
  <c r="BS58" i="3"/>
  <c r="BR58" i="3"/>
  <c r="BQ58" i="3"/>
  <c r="BP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BY56" i="3"/>
  <c r="BX56" i="3"/>
  <c r="BW56" i="3"/>
  <c r="BV56" i="3"/>
  <c r="BU56" i="3"/>
  <c r="BT56" i="3"/>
  <c r="BS56" i="3"/>
  <c r="BR56" i="3"/>
  <c r="BQ56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BY55" i="3"/>
  <c r="BX55" i="3"/>
  <c r="BW55" i="3"/>
  <c r="BV55" i="3"/>
  <c r="BU55" i="3"/>
  <c r="BT55" i="3"/>
  <c r="BS55" i="3"/>
  <c r="BR55" i="3"/>
  <c r="BQ55" i="3"/>
  <c r="BP55" i="3"/>
  <c r="BO55" i="3"/>
  <c r="BN55" i="3"/>
  <c r="BM55" i="3"/>
  <c r="BL55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BY54" i="3"/>
  <c r="BX54" i="3"/>
  <c r="BW54" i="3"/>
  <c r="BV54" i="3"/>
  <c r="BU54" i="3"/>
  <c r="BT54" i="3"/>
  <c r="BS54" i="3"/>
  <c r="BR54" i="3"/>
  <c r="BQ54" i="3"/>
  <c r="BP54" i="3"/>
  <c r="BO54" i="3"/>
  <c r="BN54" i="3"/>
  <c r="BM54" i="3"/>
  <c r="BL54" i="3"/>
  <c r="BK54" i="3"/>
  <c r="BJ54" i="3"/>
  <c r="BI54" i="3"/>
  <c r="BH54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BY53" i="3"/>
  <c r="BX53" i="3"/>
  <c r="BW53" i="3"/>
  <c r="BV53" i="3"/>
  <c r="BU53" i="3"/>
  <c r="BT53" i="3"/>
  <c r="BS53" i="3"/>
  <c r="BR53" i="3"/>
  <c r="BQ53" i="3"/>
  <c r="BP53" i="3"/>
  <c r="BO53" i="3"/>
  <c r="BN53" i="3"/>
  <c r="BM53" i="3"/>
  <c r="BL53" i="3"/>
  <c r="BK53" i="3"/>
  <c r="BJ53" i="3"/>
  <c r="BI53" i="3"/>
  <c r="BH53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BY52" i="3"/>
  <c r="BX52" i="3"/>
  <c r="BW52" i="3"/>
  <c r="BV52" i="3"/>
  <c r="BU52" i="3"/>
  <c r="BT52" i="3"/>
  <c r="BS52" i="3"/>
  <c r="BR52" i="3"/>
  <c r="BQ52" i="3"/>
  <c r="BP52" i="3"/>
  <c r="BO52" i="3"/>
  <c r="BN52" i="3"/>
  <c r="BM52" i="3"/>
  <c r="BL52" i="3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BY51" i="3"/>
  <c r="BX51" i="3"/>
  <c r="BW51" i="3"/>
  <c r="BV51" i="3"/>
  <c r="BU51" i="3"/>
  <c r="BT51" i="3"/>
  <c r="BS51" i="3"/>
  <c r="BR51" i="3"/>
  <c r="BQ51" i="3"/>
  <c r="BP51" i="3"/>
  <c r="BO51" i="3"/>
  <c r="BN51" i="3"/>
  <c r="BM51" i="3"/>
  <c r="BL51" i="3"/>
  <c r="BK51" i="3"/>
  <c r="BJ51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BY50" i="3"/>
  <c r="BX50" i="3"/>
  <c r="BW50" i="3"/>
  <c r="BV50" i="3"/>
  <c r="BU50" i="3"/>
  <c r="BT50" i="3"/>
  <c r="BS50" i="3"/>
  <c r="BR50" i="3"/>
  <c r="BQ50" i="3"/>
  <c r="BP50" i="3"/>
  <c r="BO50" i="3"/>
  <c r="BN50" i="3"/>
  <c r="BM50" i="3"/>
  <c r="BL50" i="3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BY48" i="3"/>
  <c r="BX48" i="3"/>
  <c r="BW48" i="3"/>
  <c r="BV48" i="3"/>
  <c r="BV68" i="3" s="1"/>
  <c r="BU48" i="3"/>
  <c r="BT48" i="3"/>
  <c r="BS48" i="3"/>
  <c r="BR48" i="3"/>
  <c r="BQ48" i="3"/>
  <c r="BP48" i="3"/>
  <c r="BO48" i="3"/>
  <c r="BN48" i="3"/>
  <c r="BM48" i="3"/>
  <c r="BL48" i="3"/>
  <c r="BK48" i="3"/>
  <c r="BJ48" i="3"/>
  <c r="BJ68" i="3" s="1"/>
  <c r="BI48" i="3"/>
  <c r="BH48" i="3"/>
  <c r="BG48" i="3"/>
  <c r="BF48" i="3"/>
  <c r="BE48" i="3"/>
  <c r="BD48" i="3"/>
  <c r="BC48" i="3"/>
  <c r="BB48" i="3"/>
  <c r="BA48" i="3"/>
  <c r="AZ48" i="3"/>
  <c r="AY48" i="3"/>
  <c r="AX48" i="3"/>
  <c r="AX68" i="3" s="1"/>
  <c r="AW48" i="3"/>
  <c r="AV48" i="3"/>
  <c r="AU48" i="3"/>
  <c r="AT48" i="3"/>
  <c r="AS48" i="3"/>
  <c r="AR48" i="3"/>
  <c r="AQ48" i="3"/>
  <c r="AP48" i="3"/>
  <c r="AO48" i="3"/>
  <c r="BO89" i="3" l="1"/>
  <c r="AQ89" i="3"/>
  <c r="BE89" i="3"/>
  <c r="AP68" i="3"/>
  <c r="BN68" i="3"/>
  <c r="AT89" i="3"/>
  <c r="BF89" i="3"/>
  <c r="BR89" i="3"/>
  <c r="BL68" i="3"/>
  <c r="BD89" i="3"/>
  <c r="BC68" i="3"/>
  <c r="AU89" i="3"/>
  <c r="BG89" i="3"/>
  <c r="BS89" i="3"/>
  <c r="AZ68" i="3"/>
  <c r="BM68" i="3"/>
  <c r="AQ68" i="3"/>
  <c r="BO68" i="3"/>
  <c r="AR68" i="3"/>
  <c r="BD68" i="3"/>
  <c r="BP68" i="3"/>
  <c r="AV89" i="3"/>
  <c r="BH89" i="3"/>
  <c r="BT89" i="3"/>
  <c r="BK68" i="3"/>
  <c r="AR89" i="3"/>
  <c r="BY68" i="3"/>
  <c r="AS68" i="3"/>
  <c r="BE68" i="3"/>
  <c r="BQ68" i="3"/>
  <c r="AW89" i="3"/>
  <c r="BI89" i="3"/>
  <c r="BU89" i="3"/>
  <c r="BX68" i="3"/>
  <c r="BP89" i="3"/>
  <c r="AO68" i="3"/>
  <c r="AT68" i="3"/>
  <c r="BR68" i="3"/>
  <c r="AX89" i="3"/>
  <c r="BJ89" i="3"/>
  <c r="BV89" i="3"/>
  <c r="AY68" i="3"/>
  <c r="AS89" i="3"/>
  <c r="BB68" i="3"/>
  <c r="AU68" i="3"/>
  <c r="BK89" i="3"/>
  <c r="BW89" i="3"/>
  <c r="BF68" i="3"/>
  <c r="BG68" i="3"/>
  <c r="AY89" i="3"/>
  <c r="AV68" i="3"/>
  <c r="BH68" i="3"/>
  <c r="BT68" i="3"/>
  <c r="AZ89" i="3"/>
  <c r="BL89" i="3"/>
  <c r="BX89" i="3"/>
  <c r="BW68" i="3"/>
  <c r="BA68" i="3"/>
  <c r="BQ89" i="3"/>
  <c r="BS68" i="3"/>
  <c r="AW68" i="3"/>
  <c r="BI68" i="3"/>
  <c r="BU68" i="3"/>
  <c r="AO89" i="3"/>
  <c r="BA89" i="3"/>
  <c r="BM89" i="3"/>
  <c r="BY89" i="3"/>
</calcChain>
</file>

<file path=xl/sharedStrings.xml><?xml version="1.0" encoding="utf-8"?>
<sst xmlns="http://schemas.openxmlformats.org/spreadsheetml/2006/main" count="679" uniqueCount="139">
  <si>
    <t>NemoMod Discounted Capital Investment</t>
  </si>
  <si>
    <t>NemoMod Discounted Operating Costs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</si>
  <si>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</si>
  <si>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</si>
  <si>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</si>
  <si>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</si>
  <si>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</si>
  <si>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</si>
  <si>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</si>
  <si>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</si>
  <si>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</si>
  <si>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</si>
  <si>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</si>
  <si>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</si>
  <si>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</si>
  <si>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</si>
  <si>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</si>
  <si>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</si>
  <si>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</si>
  <si>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</si>
  <si>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</si>
  <si>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</si>
  <si>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</si>
  <si>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</si>
  <si>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</si>
  <si>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</si>
  <si>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</si>
  <si>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</si>
  <si>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</si>
  <si>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</si>
  <si>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</si>
  <si>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</si>
  <si>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</si>
  <si>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</si>
  <si>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</si>
  <si>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</si>
  <si>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</si>
  <si>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</si>
  <si>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</si>
  <si>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6003</t>
  </si>
  <si>
    <t>Current Pathway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</si>
  <si>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</si>
  <si>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</si>
  <si>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</si>
  <si>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</si>
  <si>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</si>
  <si>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</si>
  <si>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</si>
  <si>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</si>
  <si>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</si>
  <si>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</si>
  <si>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</si>
  <si>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</si>
  <si>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</si>
  <si>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</si>
  <si>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</si>
  <si>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</si>
  <si>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</si>
  <si>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</si>
  <si>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</si>
  <si>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</si>
  <si>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</si>
  <si>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</si>
  <si>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</si>
  <si>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</si>
  <si>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</si>
  <si>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</si>
  <si>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</si>
  <si>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</si>
  <si>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</si>
  <si>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</si>
  <si>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</si>
  <si>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</si>
  <si>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</si>
  <si>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</si>
  <si>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</si>
  <si>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</si>
  <si>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</si>
  <si>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6004</t>
  </si>
  <si>
    <t>Pathway 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</si>
  <si>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</si>
  <si>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</si>
  <si>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</si>
  <si>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</si>
  <si>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</si>
  <si>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</si>
  <si>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</si>
  <si>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</si>
  <si>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</si>
  <si>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</si>
  <si>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</si>
  <si>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</si>
  <si>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</si>
  <si>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</si>
  <si>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</si>
  <si>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</si>
  <si>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</si>
  <si>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</si>
  <si>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</si>
  <si>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</si>
  <si>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</si>
  <si>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</si>
  <si>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</si>
  <si>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</si>
  <si>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</si>
  <si>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</si>
  <si>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</si>
  <si>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</si>
  <si>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</si>
  <si>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</si>
  <si>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</si>
  <si>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</si>
  <si>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</si>
  <si>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</si>
  <si>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</si>
  <si>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</si>
  <si>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</si>
  <si>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6005</t>
  </si>
  <si>
    <t>Pathway 3</t>
  </si>
  <si>
    <t>pp_biogas</t>
  </si>
  <si>
    <t>pp_biomass</t>
  </si>
  <si>
    <t>pp_coal</t>
  </si>
  <si>
    <t>pp_coal_ccs</t>
  </si>
  <si>
    <t>pp_gas</t>
  </si>
  <si>
    <t>pp_gas_ccs</t>
  </si>
  <si>
    <t>pp_geothermal</t>
  </si>
  <si>
    <t>pp_hydropower</t>
  </si>
  <si>
    <t>pp_nuclear</t>
  </si>
  <si>
    <t>pp_ocean</t>
  </si>
  <si>
    <t>pp_oil</t>
  </si>
  <si>
    <t>pp_solar</t>
  </si>
  <si>
    <t>pp_waste_incineration</t>
  </si>
  <si>
    <t>pp_wind</t>
  </si>
  <si>
    <t>fp_ammonia_production</t>
  </si>
  <si>
    <t>fp_hydrogen_gasification</t>
  </si>
  <si>
    <t>fp_hydrogen_reformation_ccs</t>
  </si>
  <si>
    <t>fp_natural_gas_liquefaction</t>
  </si>
  <si>
    <t>fp_hydrogen_reformation</t>
  </si>
  <si>
    <t>fp_hydrogen_electrolysis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</si>
</sst>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"/>
    <numFmt numFmtId="167" formatCode="#,##0.00000"/>
  </numFmts>
  <fonts count="3" x14ac:knownFonts="1">
    <font>
      <sz val="11"/>
      <name val="Calibri"/>
    </font>
    <font>
      <sz val="9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top" textRotation="90"/>
    </xf>
    <xf numFmtId="0" fontId="1" fillId="0" borderId="2" xfId="0" applyFont="1" applyBorder="1" applyAlignment="1">
      <alignment horizontal="center"/>
    </xf>
    <xf numFmtId="3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left" vertical="top" textRotation="90"/>
    </xf>
    <xf numFmtId="3" fontId="1" fillId="0" borderId="4" xfId="0" applyNumberFormat="1" applyFont="1" applyBorder="1" applyAlignment="1">
      <alignment vertical="center"/>
    </xf>
    <xf numFmtId="0" fontId="0" fillId="0" borderId="4" xfId="0" applyBorder="1"/>
    <xf numFmtId="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 vertical="top" textRotation="90"/>
    </xf>
    <xf numFmtId="165" fontId="0" fillId="0" borderId="0" xfId="0" applyNumberForma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5"/>
  <sheetViews>
    <sheetView workbookViewId="0">
      <selection activeCell="B5" sqref="B5"/>
    </sheetView>
  </sheetViews>
  <sheetFormatPr baseColWidth="10" defaultColWidth="8.83203125" defaultRowHeight="15" x14ac:dyDescent="0.2"/>
  <sheetData>
    <row r="1" spans="1:112" x14ac:dyDescent="0.2">
      <c r="B1" s="5" t="s">
        <v>40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 t="s">
        <v>79</v>
      </c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 t="s">
        <v>118</v>
      </c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</row>
    <row r="2" spans="1:112" x14ac:dyDescent="0.2">
      <c r="B2" s="5" t="s">
        <v>39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 t="s">
        <v>78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 t="s">
        <v>117</v>
      </c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</row>
    <row r="3" spans="1:112" x14ac:dyDescent="0.2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51</v>
      </c>
      <c r="AX3" s="2" t="s">
        <v>52</v>
      </c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" t="s">
        <v>58</v>
      </c>
      <c r="BE3" s="2" t="s">
        <v>59</v>
      </c>
      <c r="BF3" s="2" t="s">
        <v>60</v>
      </c>
      <c r="BG3" s="2" t="s">
        <v>61</v>
      </c>
      <c r="BH3" s="2" t="s">
        <v>62</v>
      </c>
      <c r="BI3" s="2" t="s">
        <v>63</v>
      </c>
      <c r="BJ3" s="2" t="s">
        <v>64</v>
      </c>
      <c r="BK3" s="2" t="s">
        <v>65</v>
      </c>
      <c r="BL3" s="2" t="s">
        <v>66</v>
      </c>
      <c r="BM3" s="2" t="s">
        <v>67</v>
      </c>
      <c r="BN3" s="2" t="s">
        <v>68</v>
      </c>
      <c r="BO3" s="2" t="s">
        <v>69</v>
      </c>
      <c r="BP3" s="2" t="s">
        <v>70</v>
      </c>
      <c r="BQ3" s="2" t="s">
        <v>71</v>
      </c>
      <c r="BR3" s="2" t="s">
        <v>72</v>
      </c>
      <c r="BS3" s="2" t="s">
        <v>73</v>
      </c>
      <c r="BT3" s="2" t="s">
        <v>74</v>
      </c>
      <c r="BU3" s="2" t="s">
        <v>75</v>
      </c>
      <c r="BV3" s="2" t="s">
        <v>76</v>
      </c>
      <c r="BW3" s="2" t="s">
        <v>77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108</v>
      </c>
      <c r="DA3" s="2" t="s">
        <v>109</v>
      </c>
      <c r="DB3" s="2" t="s">
        <v>110</v>
      </c>
      <c r="DC3" s="2" t="s">
        <v>111</v>
      </c>
      <c r="DD3" s="2" t="s">
        <v>112</v>
      </c>
      <c r="DE3" s="2" t="s">
        <v>113</v>
      </c>
      <c r="DF3" s="2" t="s">
        <v>114</v>
      </c>
      <c r="DG3" s="2" t="s">
        <v>115</v>
      </c>
      <c r="DH3" s="2" t="s">
        <v>116</v>
      </c>
    </row>
    <row r="4" spans="1:112" ht="179" x14ac:dyDescent="0.2">
      <c r="A4" s="1" t="s">
        <v>0</v>
      </c>
      <c r="B4" s="3">
        <v>2019.5610864581029</v>
      </c>
      <c r="C4" s="3">
        <v>1959.9762900343976</v>
      </c>
      <c r="D4" s="3">
        <v>8310.1277406585286</v>
      </c>
      <c r="E4" s="3">
        <v>1643.1266671528538</v>
      </c>
      <c r="F4" s="3">
        <v>908.33170502820087</v>
      </c>
      <c r="G4" s="3">
        <v>4225.2599891422651</v>
      </c>
      <c r="H4" s="3">
        <v>1573.2786790042721</v>
      </c>
      <c r="I4" s="3">
        <v>790.51811572410998</v>
      </c>
      <c r="J4" s="3">
        <v>890.74967007818827</v>
      </c>
      <c r="K4" s="3">
        <v>1529.3519199695377</v>
      </c>
      <c r="L4" s="3">
        <v>2605.1015474743085</v>
      </c>
      <c r="M4" s="3">
        <v>843.30713654997533</v>
      </c>
      <c r="N4" s="3">
        <v>3656.389034455266</v>
      </c>
      <c r="O4" s="3">
        <v>911.95784085656203</v>
      </c>
      <c r="P4" s="3">
        <v>1003.7656446333233</v>
      </c>
      <c r="Q4" s="3">
        <v>1283.4371517130701</v>
      </c>
      <c r="R4" s="3">
        <v>1863.9725344130393</v>
      </c>
      <c r="S4" s="3">
        <v>25360.130058019851</v>
      </c>
      <c r="T4" s="3">
        <v>5865.4355846440822</v>
      </c>
      <c r="U4" s="3">
        <v>3849.6864154240538</v>
      </c>
      <c r="V4" s="3">
        <v>2739.579743798839</v>
      </c>
      <c r="W4" s="3">
        <v>12660.640737331454</v>
      </c>
      <c r="X4" s="3">
        <v>9684.124896696143</v>
      </c>
      <c r="Y4" s="3">
        <v>4568.1978740194654</v>
      </c>
      <c r="Z4" s="3">
        <v>4701.0233012875287</v>
      </c>
      <c r="AA4" s="3">
        <v>5169.2331052491518</v>
      </c>
      <c r="AB4" s="3">
        <v>4169.5933181150449</v>
      </c>
      <c r="AC4" s="3">
        <v>5184.871007121189</v>
      </c>
      <c r="AD4" s="3">
        <v>3198.1232947015683</v>
      </c>
      <c r="AE4" s="3">
        <v>6317.1642013953006</v>
      </c>
      <c r="AF4" s="3">
        <v>4983.0204590522835</v>
      </c>
      <c r="AG4" s="3">
        <v>5227.0230568819916</v>
      </c>
      <c r="AH4" s="3">
        <v>11665.114660115281</v>
      </c>
      <c r="AI4" s="3">
        <v>3654.5979940945917</v>
      </c>
      <c r="AJ4" s="3">
        <v>3894.3313917420428</v>
      </c>
      <c r="AK4" s="3">
        <v>6543.2196123851099</v>
      </c>
      <c r="AL4" s="3">
        <v>3281.9906198349909</v>
      </c>
      <c r="AM4" s="3">
        <v>2169.8518606158805</v>
      </c>
      <c r="AN4" s="3">
        <v>2098.5365247977397</v>
      </c>
      <c r="AO4" s="3">
        <v>8797.7660019251671</v>
      </c>
      <c r="AP4" s="3">
        <v>4698.2306982591072</v>
      </c>
      <c r="AQ4" s="3">
        <v>3253.6411512682953</v>
      </c>
      <c r="AR4" s="3">
        <v>5930.5744673297377</v>
      </c>
      <c r="AS4" s="3">
        <v>3486.9212692838773</v>
      </c>
      <c r="AT4" s="3">
        <v>4173.9227670124183</v>
      </c>
      <c r="AU4" s="3">
        <v>4294.1581057197636</v>
      </c>
      <c r="AV4" s="3">
        <v>4189.0991140449596</v>
      </c>
      <c r="AW4" s="3">
        <v>3954.0486949713659</v>
      </c>
      <c r="AX4" s="3">
        <v>4248.2752818607023</v>
      </c>
      <c r="AY4" s="3">
        <v>5588.3081672386679</v>
      </c>
      <c r="AZ4" s="3">
        <v>3676.285996960612</v>
      </c>
      <c r="BA4" s="3">
        <v>3746.2709851520526</v>
      </c>
      <c r="BB4" s="3">
        <v>3888.6034581077224</v>
      </c>
      <c r="BC4" s="3">
        <v>3939.5215514006231</v>
      </c>
      <c r="BD4" s="3">
        <v>14768.263873141274</v>
      </c>
      <c r="BE4" s="3">
        <v>3796.8190305457897</v>
      </c>
      <c r="BF4" s="3">
        <v>2638.2575680030568</v>
      </c>
      <c r="BG4" s="3">
        <v>3437.3460254002189</v>
      </c>
      <c r="BH4" s="3">
        <v>9786.6583668789408</v>
      </c>
      <c r="BI4" s="3">
        <v>8645.7741081483582</v>
      </c>
      <c r="BJ4" s="3">
        <v>5570.0105878156555</v>
      </c>
      <c r="BK4" s="3">
        <v>4923.7259798288142</v>
      </c>
      <c r="BL4" s="3">
        <v>5805.0587346507255</v>
      </c>
      <c r="BM4" s="3">
        <v>4863.3202360037321</v>
      </c>
      <c r="BN4" s="3">
        <v>4773.0176743250922</v>
      </c>
      <c r="BO4" s="3">
        <v>6062.2593337954813</v>
      </c>
      <c r="BP4" s="3">
        <v>9200.3314114810346</v>
      </c>
      <c r="BQ4" s="3">
        <v>17183.892189566192</v>
      </c>
      <c r="BR4" s="3">
        <v>2583.9742569526829</v>
      </c>
      <c r="BS4" s="3">
        <v>13650.611358020064</v>
      </c>
      <c r="BT4" s="3">
        <v>4197.1677972798916</v>
      </c>
      <c r="BU4" s="3">
        <v>4861.3419826639838</v>
      </c>
      <c r="BV4" s="3">
        <v>6421.8513008156597</v>
      </c>
      <c r="BW4" s="3">
        <v>2026.9359228523399</v>
      </c>
      <c r="BX4" s="3">
        <v>2169.8518606158104</v>
      </c>
      <c r="BY4" s="3">
        <v>2098.5365247977534</v>
      </c>
      <c r="BZ4" s="3">
        <v>8797.766001920445</v>
      </c>
      <c r="CA4" s="3">
        <v>3982.6122527940283</v>
      </c>
      <c r="CB4" s="3">
        <v>2353.9348219983935</v>
      </c>
      <c r="CC4" s="3">
        <v>6228.0709758175335</v>
      </c>
      <c r="CD4" s="3">
        <v>2606.2035638014322</v>
      </c>
      <c r="CE4" s="3">
        <v>3381.6874759160341</v>
      </c>
      <c r="CF4" s="3">
        <v>3476.1876152742607</v>
      </c>
      <c r="CG4" s="3">
        <v>2070.4789665599733</v>
      </c>
      <c r="CH4" s="3">
        <v>2284.7592747357339</v>
      </c>
      <c r="CI4" s="3">
        <v>2946.8162464182551</v>
      </c>
      <c r="CJ4" s="3">
        <v>5121.7825682579169</v>
      </c>
      <c r="CK4" s="3">
        <v>3231.9668591187865</v>
      </c>
      <c r="CL4" s="3">
        <v>3404.7122061426644</v>
      </c>
      <c r="CM4" s="3">
        <v>4048.663963666263</v>
      </c>
      <c r="CN4" s="3">
        <v>4334.557725110606</v>
      </c>
      <c r="CO4" s="3">
        <v>20688.812061531851</v>
      </c>
      <c r="CP4" s="3">
        <v>4822.8049070474117</v>
      </c>
      <c r="CQ4" s="3">
        <v>3696.9449671983639</v>
      </c>
      <c r="CR4" s="3">
        <v>2919.4597414442351</v>
      </c>
      <c r="CS4" s="3">
        <v>11287.376078487241</v>
      </c>
      <c r="CT4" s="3">
        <v>11498.634596377473</v>
      </c>
      <c r="CU4" s="3">
        <v>6271.3879140891422</v>
      </c>
      <c r="CV4" s="3">
        <v>6114.2605523606853</v>
      </c>
      <c r="CW4" s="3">
        <v>8025.7583406148879</v>
      </c>
      <c r="CX4" s="3">
        <v>6019.9780747392178</v>
      </c>
      <c r="CY4" s="3">
        <v>6669.5588345004562</v>
      </c>
      <c r="CZ4" s="3">
        <v>6207.3812518978684</v>
      </c>
      <c r="DA4" s="3">
        <v>11881.033151908801</v>
      </c>
      <c r="DB4" s="3">
        <v>15502.533716499036</v>
      </c>
      <c r="DC4" s="3">
        <v>5849.1500523745863</v>
      </c>
      <c r="DD4" s="3">
        <v>13069.884873068331</v>
      </c>
      <c r="DE4" s="3">
        <v>6185.9442432130627</v>
      </c>
      <c r="DF4" s="3">
        <v>6223.2380811290732</v>
      </c>
      <c r="DG4" s="3">
        <v>6908.5331625617109</v>
      </c>
      <c r="DH4" s="3">
        <v>6364.7159687395633</v>
      </c>
    </row>
    <row r="5" spans="1:112" ht="169" x14ac:dyDescent="0.2">
      <c r="A5" s="1" t="s">
        <v>1</v>
      </c>
      <c r="B5" s="3">
        <v>7477.093668634524</v>
      </c>
      <c r="C5" s="3">
        <v>7946.9109052478898</v>
      </c>
      <c r="D5" s="3">
        <v>8258.2786102928549</v>
      </c>
      <c r="E5" s="3">
        <v>8532.9285740733176</v>
      </c>
      <c r="F5" s="3">
        <v>8954.0496790901743</v>
      </c>
      <c r="G5" s="3">
        <v>8877.5288547586424</v>
      </c>
      <c r="H5" s="3">
        <v>8717.0583132027496</v>
      </c>
      <c r="I5" s="3">
        <v>8633.0862473672423</v>
      </c>
      <c r="J5" s="3">
        <v>8657.5930581346238</v>
      </c>
      <c r="K5" s="3">
        <v>8645.8474556187011</v>
      </c>
      <c r="L5" s="3">
        <v>8749.95140438013</v>
      </c>
      <c r="M5" s="3">
        <v>8887.3430895615093</v>
      </c>
      <c r="N5" s="3">
        <v>9089.9149292386046</v>
      </c>
      <c r="O5" s="3">
        <v>9227.0369420456555</v>
      </c>
      <c r="P5" s="3">
        <v>9415.0511081640852</v>
      </c>
      <c r="Q5" s="3">
        <v>9542.9215792229988</v>
      </c>
      <c r="R5" s="3">
        <v>9690.3176828054893</v>
      </c>
      <c r="S5" s="3">
        <v>9834.655480086587</v>
      </c>
      <c r="T5" s="3">
        <v>10067.417133330975</v>
      </c>
      <c r="U5" s="3">
        <v>10315.486122218994</v>
      </c>
      <c r="V5" s="3">
        <v>10566.114562170855</v>
      </c>
      <c r="W5" s="3">
        <v>10824.894815723717</v>
      </c>
      <c r="X5" s="3">
        <v>11094.425945666286</v>
      </c>
      <c r="Y5" s="3">
        <v>11369.146233012074</v>
      </c>
      <c r="Z5" s="3">
        <v>11652.197327077491</v>
      </c>
      <c r="AA5" s="3">
        <v>11945.004955402415</v>
      </c>
      <c r="AB5" s="3">
        <v>12249.364473412592</v>
      </c>
      <c r="AC5" s="3">
        <v>12566.613173840502</v>
      </c>
      <c r="AD5" s="3">
        <v>12942.701707097898</v>
      </c>
      <c r="AE5" s="3">
        <v>13324.842047522108</v>
      </c>
      <c r="AF5" s="3">
        <v>13710.595381443238</v>
      </c>
      <c r="AG5" s="3">
        <v>14100.064388287563</v>
      </c>
      <c r="AH5" s="3">
        <v>14491.157293731478</v>
      </c>
      <c r="AI5" s="3">
        <v>14883.581087217724</v>
      </c>
      <c r="AJ5" s="3">
        <v>15277.440631208718</v>
      </c>
      <c r="AK5" s="3">
        <v>15670.43028961806</v>
      </c>
      <c r="AL5" s="3">
        <v>16068.549640255505</v>
      </c>
      <c r="AM5" s="3">
        <v>7502.3794854033185</v>
      </c>
      <c r="AN5" s="3">
        <v>8004.7874906953457</v>
      </c>
      <c r="AO5" s="3">
        <v>8354.1942541720637</v>
      </c>
      <c r="AP5" s="3">
        <v>8524.5204464100934</v>
      </c>
      <c r="AQ5" s="3">
        <v>8974.2333987177444</v>
      </c>
      <c r="AR5" s="3">
        <v>8840.9462787862794</v>
      </c>
      <c r="AS5" s="3">
        <v>8620.5087804810792</v>
      </c>
      <c r="AT5" s="3">
        <v>8458.2925941559861</v>
      </c>
      <c r="AU5" s="3">
        <v>8395.627817324912</v>
      </c>
      <c r="AV5" s="3">
        <v>8283.3518187336813</v>
      </c>
      <c r="AW5" s="3">
        <v>8292.339700816261</v>
      </c>
      <c r="AX5" s="3">
        <v>8314.8519950266436</v>
      </c>
      <c r="AY5" s="3">
        <v>8412.6657999194285</v>
      </c>
      <c r="AZ5" s="3">
        <v>8447.039170909753</v>
      </c>
      <c r="BA5" s="3">
        <v>8513.2207848269973</v>
      </c>
      <c r="BB5" s="3">
        <v>8499.2714912312949</v>
      </c>
      <c r="BC5" s="3">
        <v>8500.4207436451543</v>
      </c>
      <c r="BD5" s="3">
        <v>8415.1507944972054</v>
      </c>
      <c r="BE5" s="3">
        <v>8366.9466712488138</v>
      </c>
      <c r="BF5" s="3">
        <v>8343.937609999628</v>
      </c>
      <c r="BG5" s="3">
        <v>8312.046327096712</v>
      </c>
      <c r="BH5" s="3">
        <v>8263.7733128367454</v>
      </c>
      <c r="BI5" s="3">
        <v>8273.174499729239</v>
      </c>
      <c r="BJ5" s="3">
        <v>8204.3133624826296</v>
      </c>
      <c r="BK5" s="3">
        <v>8160.3452987404835</v>
      </c>
      <c r="BL5" s="3">
        <v>8129.2668134329479</v>
      </c>
      <c r="BM5" s="3">
        <v>8070.89799739931</v>
      </c>
      <c r="BN5" s="3">
        <v>8028.0457116696398</v>
      </c>
      <c r="BO5" s="3">
        <v>8047.187106543176</v>
      </c>
      <c r="BP5" s="3">
        <v>8109.8856684810225</v>
      </c>
      <c r="BQ5" s="3">
        <v>8329.2199795263459</v>
      </c>
      <c r="BR5" s="3">
        <v>8565.6433110157996</v>
      </c>
      <c r="BS5" s="3">
        <v>8743.7209635651288</v>
      </c>
      <c r="BT5" s="3">
        <v>8958.2314483964383</v>
      </c>
      <c r="BU5" s="3">
        <v>9165.8427329523656</v>
      </c>
      <c r="BV5" s="3">
        <v>9375.5377631178453</v>
      </c>
      <c r="BW5" s="3">
        <v>9533.4774972263258</v>
      </c>
      <c r="BX5" s="3">
        <v>7502.3794854033567</v>
      </c>
      <c r="BY5" s="3">
        <v>8004.7874906953957</v>
      </c>
      <c r="BZ5" s="3">
        <v>8354.1942541720618</v>
      </c>
      <c r="CA5" s="3">
        <v>8442.1369771977024</v>
      </c>
      <c r="CB5" s="3">
        <v>8788.6881111039856</v>
      </c>
      <c r="CC5" s="3">
        <v>8563.6807277556691</v>
      </c>
      <c r="CD5" s="3">
        <v>8260.8268889451301</v>
      </c>
      <c r="CE5" s="3">
        <v>8005.548983223116</v>
      </c>
      <c r="CF5" s="3">
        <v>7835.3440000134378</v>
      </c>
      <c r="CG5" s="3">
        <v>7690.0055359713724</v>
      </c>
      <c r="CH5" s="3">
        <v>7628.8477086494213</v>
      </c>
      <c r="CI5" s="3">
        <v>7549.3666161473893</v>
      </c>
      <c r="CJ5" s="3">
        <v>7504.5155014599759</v>
      </c>
      <c r="CK5" s="3">
        <v>7400.7445576425662</v>
      </c>
      <c r="CL5" s="3">
        <v>7317.9234447923118</v>
      </c>
      <c r="CM5" s="3">
        <v>7169.0665649072416</v>
      </c>
      <c r="CN5" s="3">
        <v>7049.7458738039059</v>
      </c>
      <c r="CO5" s="3">
        <v>6970.6482761427142</v>
      </c>
      <c r="CP5" s="3">
        <v>6818.2020380630265</v>
      </c>
      <c r="CQ5" s="3">
        <v>6624.9109295156131</v>
      </c>
      <c r="CR5" s="3">
        <v>6383.8594447384103</v>
      </c>
      <c r="CS5" s="3">
        <v>6148.9827378572782</v>
      </c>
      <c r="CT5" s="3">
        <v>6022.9741680165716</v>
      </c>
      <c r="CU5" s="3">
        <v>5752.7053741440786</v>
      </c>
      <c r="CV5" s="3">
        <v>5478.2620800276973</v>
      </c>
      <c r="CW5" s="3">
        <v>5253.3326241268423</v>
      </c>
      <c r="CX5" s="3">
        <v>4950.6291983983901</v>
      </c>
      <c r="CY5" s="3">
        <v>4704.7828451760161</v>
      </c>
      <c r="CZ5" s="3">
        <v>4525.0010154690517</v>
      </c>
      <c r="DA5" s="3">
        <v>4403.9060057529541</v>
      </c>
      <c r="DB5" s="3">
        <v>4468.2384480465907</v>
      </c>
      <c r="DC5" s="3">
        <v>4519.8769572890606</v>
      </c>
      <c r="DD5" s="3">
        <v>4559.8194750260327</v>
      </c>
      <c r="DE5" s="3">
        <v>4603.3573723299232</v>
      </c>
      <c r="DF5" s="3">
        <v>4640.6134337069752</v>
      </c>
      <c r="DG5" s="3">
        <v>4661.6407296814332</v>
      </c>
      <c r="DH5" s="3">
        <v>4694.1042780935704</v>
      </c>
    </row>
  </sheetData>
  <mergeCells count="6">
    <mergeCell ref="B2:AL2"/>
    <mergeCell ref="B1:AL1"/>
    <mergeCell ref="AM2:BW2"/>
    <mergeCell ref="AM1:BW1"/>
    <mergeCell ref="BX2:DH2"/>
    <mergeCell ref="BX1:D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31"/>
  <sheetViews>
    <sheetView workbookViewId="0">
      <selection sqref="A1:AM131"/>
    </sheetView>
  </sheetViews>
  <sheetFormatPr baseColWidth="10" defaultColWidth="8.83203125" defaultRowHeight="15" x14ac:dyDescent="0.2"/>
  <cols>
    <col min="2" max="2" width="21.83203125" bestFit="1" customWidth="1"/>
    <col min="3" max="39" width="6" customWidth="1"/>
  </cols>
  <sheetData>
    <row r="1" spans="1:39" x14ac:dyDescent="0.2">
      <c r="C1" s="10" t="s">
        <v>40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x14ac:dyDescent="0.2">
      <c r="C2" s="10" t="s">
        <v>39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</row>
    <row r="3" spans="1:39" x14ac:dyDescent="0.2"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  <c r="R3" s="11" t="s">
        <v>17</v>
      </c>
      <c r="S3" s="11" t="s">
        <v>18</v>
      </c>
      <c r="T3" s="11" t="s">
        <v>19</v>
      </c>
      <c r="U3" s="11" t="s">
        <v>20</v>
      </c>
      <c r="V3" s="11" t="s">
        <v>21</v>
      </c>
      <c r="W3" s="11" t="s">
        <v>22</v>
      </c>
      <c r="X3" s="11" t="s">
        <v>23</v>
      </c>
      <c r="Y3" s="11" t="s">
        <v>24</v>
      </c>
      <c r="Z3" s="11" t="s">
        <v>25</v>
      </c>
      <c r="AA3" s="11" t="s">
        <v>26</v>
      </c>
      <c r="AB3" s="11" t="s">
        <v>27</v>
      </c>
      <c r="AC3" s="11" t="s">
        <v>28</v>
      </c>
      <c r="AD3" s="11" t="s">
        <v>29</v>
      </c>
      <c r="AE3" s="11" t="s">
        <v>30</v>
      </c>
      <c r="AF3" s="11" t="s">
        <v>31</v>
      </c>
      <c r="AG3" s="11" t="s">
        <v>32</v>
      </c>
      <c r="AH3" s="11" t="s">
        <v>33</v>
      </c>
      <c r="AI3" s="11" t="s">
        <v>34</v>
      </c>
      <c r="AJ3" s="11" t="s">
        <v>35</v>
      </c>
      <c r="AK3" s="11" t="s">
        <v>36</v>
      </c>
      <c r="AL3" s="11" t="s">
        <v>37</v>
      </c>
      <c r="AM3" s="11" t="s">
        <v>38</v>
      </c>
    </row>
    <row r="4" spans="1:39" ht="15" customHeight="1" x14ac:dyDescent="0.2">
      <c r="A4" s="12" t="s">
        <v>0</v>
      </c>
      <c r="B4" s="4" t="s">
        <v>133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</row>
    <row r="5" spans="1:39" x14ac:dyDescent="0.2">
      <c r="A5" s="12"/>
      <c r="B5" s="4" t="s">
        <v>134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</row>
    <row r="6" spans="1:39" x14ac:dyDescent="0.2">
      <c r="A6" s="12"/>
      <c r="B6" s="4" t="s">
        <v>135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</row>
    <row r="7" spans="1:39" x14ac:dyDescent="0.2">
      <c r="A7" s="12"/>
      <c r="B7" s="4" t="s">
        <v>136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</row>
    <row r="8" spans="1:39" x14ac:dyDescent="0.2">
      <c r="A8" s="12"/>
      <c r="B8" s="4" t="s">
        <v>122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</row>
    <row r="9" spans="1:39" x14ac:dyDescent="0.2">
      <c r="A9" s="12"/>
      <c r="B9" s="4" t="s">
        <v>128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</row>
    <row r="10" spans="1:39" x14ac:dyDescent="0.2">
      <c r="A10" s="12"/>
      <c r="B10" s="4" t="s">
        <v>120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</row>
    <row r="11" spans="1:39" x14ac:dyDescent="0.2">
      <c r="A11" s="12"/>
      <c r="B11" s="4" t="s">
        <v>131</v>
      </c>
      <c r="C11" s="7">
        <v>51.370288694422797</v>
      </c>
      <c r="D11" s="7">
        <v>40.454679441768398</v>
      </c>
      <c r="E11" s="7">
        <v>27.9242179377258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383.445922574691</v>
      </c>
      <c r="X11" s="7">
        <v>396.08950684913799</v>
      </c>
      <c r="Y11" s="7">
        <v>303.98942872929598</v>
      </c>
      <c r="Z11" s="7">
        <v>428.92563582378898</v>
      </c>
      <c r="AA11" s="7">
        <v>8.7438467145852705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</row>
    <row r="12" spans="1:39" x14ac:dyDescent="0.2">
      <c r="A12" s="12"/>
      <c r="B12" s="4" t="s">
        <v>119</v>
      </c>
      <c r="C12" s="7">
        <v>5.5324457240216098E-2</v>
      </c>
      <c r="D12" s="7">
        <v>4.8126612443268303E-2</v>
      </c>
      <c r="E12" s="7">
        <v>4.0714583751857103E-2</v>
      </c>
      <c r="F12" s="7">
        <v>3.6785028704112799</v>
      </c>
      <c r="G12" s="7">
        <v>3.7872847362028401</v>
      </c>
      <c r="H12" s="7">
        <v>3.89474615269727</v>
      </c>
      <c r="I12" s="7">
        <v>4.0358133656174999</v>
      </c>
      <c r="J12" s="7">
        <v>4.21061294975918</v>
      </c>
      <c r="K12" s="7">
        <v>4.4140101331204296</v>
      </c>
      <c r="L12" s="7">
        <v>4.6640955288139203</v>
      </c>
      <c r="M12" s="7">
        <v>4.9563870219004498</v>
      </c>
      <c r="N12" s="7">
        <v>5.2916977076858895</v>
      </c>
      <c r="O12" s="7">
        <v>5.6695425680616003</v>
      </c>
      <c r="P12" s="7">
        <v>6.07333455595509</v>
      </c>
      <c r="Q12" s="7">
        <v>7.3395419313341899</v>
      </c>
      <c r="R12" s="7">
        <v>7.8437172572978096</v>
      </c>
      <c r="S12" s="7">
        <v>8.3637010316113809</v>
      </c>
      <c r="T12" s="7">
        <v>8.8522491426155501</v>
      </c>
      <c r="U12" s="7">
        <v>9.4027215229449901</v>
      </c>
      <c r="V12" s="7">
        <v>9.1792310995485202</v>
      </c>
      <c r="W12" s="7">
        <v>9.7218591986954799</v>
      </c>
      <c r="X12" s="7">
        <v>10.2591196325872</v>
      </c>
      <c r="Y12" s="7">
        <v>10.790004408461</v>
      </c>
      <c r="Z12" s="7">
        <v>14.9154490320393</v>
      </c>
      <c r="AA12" s="7">
        <v>15.519214326954099</v>
      </c>
      <c r="AB12" s="7">
        <v>16.107307424219002</v>
      </c>
      <c r="AC12" s="7">
        <v>16.715507197505499</v>
      </c>
      <c r="AD12" s="7">
        <v>17.344826721670401</v>
      </c>
      <c r="AE12" s="7">
        <v>17.8470421598523</v>
      </c>
      <c r="AF12" s="7">
        <v>18.455375437699601</v>
      </c>
      <c r="AG12" s="7">
        <v>19.0970075497004</v>
      </c>
      <c r="AH12" s="7">
        <v>19.776179405122502</v>
      </c>
      <c r="AI12" s="7">
        <v>20.49239709918</v>
      </c>
      <c r="AJ12" s="7">
        <v>21.2322133942717</v>
      </c>
      <c r="AK12" s="7">
        <v>22.835736137486901</v>
      </c>
      <c r="AL12" s="7">
        <v>23.679906257847101</v>
      </c>
      <c r="AM12" s="7">
        <v>24.545590845254001</v>
      </c>
    </row>
    <row r="13" spans="1:39" x14ac:dyDescent="0.2">
      <c r="A13" s="12"/>
      <c r="B13" s="4" t="s">
        <v>125</v>
      </c>
      <c r="C13" s="7">
        <v>0</v>
      </c>
      <c r="D13" s="7">
        <v>0</v>
      </c>
      <c r="E13" s="7">
        <v>0</v>
      </c>
      <c r="F13" s="7">
        <v>361.048940910537</v>
      </c>
      <c r="G13" s="7">
        <v>0</v>
      </c>
      <c r="H13" s="7">
        <v>1580.3245746197099</v>
      </c>
      <c r="I13" s="7">
        <v>25.4837677761635</v>
      </c>
      <c r="J13" s="7">
        <v>27.299994607505699</v>
      </c>
      <c r="K13" s="7">
        <v>88.261196052745802</v>
      </c>
      <c r="L13" s="7">
        <v>30.683387134950799</v>
      </c>
      <c r="M13" s="7">
        <v>32.8716320988636</v>
      </c>
      <c r="N13" s="7">
        <v>34.985498847527403</v>
      </c>
      <c r="O13" s="7">
        <v>37.391016153903003</v>
      </c>
      <c r="P13" s="7">
        <v>39.6257881776136</v>
      </c>
      <c r="Q13" s="7">
        <v>42.479938712336001</v>
      </c>
      <c r="R13" s="7">
        <v>45.502153537134099</v>
      </c>
      <c r="S13" s="7">
        <v>48.503938558375097</v>
      </c>
      <c r="T13" s="7">
        <v>51.335902641099302</v>
      </c>
      <c r="U13" s="7">
        <v>52.777337280202403</v>
      </c>
      <c r="V13" s="7">
        <v>54.341617608298201</v>
      </c>
      <c r="W13" s="7">
        <v>55.529376983825301</v>
      </c>
      <c r="X13" s="7">
        <v>56.810352524780697</v>
      </c>
      <c r="Y13" s="7">
        <v>58.1930503210247</v>
      </c>
      <c r="Z13" s="7">
        <v>59.305437341141399</v>
      </c>
      <c r="AA13" s="7">
        <v>60.5202905937143</v>
      </c>
      <c r="AB13" s="7">
        <v>62.027233656344002</v>
      </c>
      <c r="AC13" s="7">
        <v>63.924726588628197</v>
      </c>
      <c r="AD13" s="7">
        <v>66.071332316561595</v>
      </c>
      <c r="AE13" s="7">
        <v>72.715212544315804</v>
      </c>
      <c r="AF13" s="7">
        <v>73.521020983157001</v>
      </c>
      <c r="AG13" s="7">
        <v>73.769655444201504</v>
      </c>
      <c r="AH13" s="7">
        <v>74.011175011575403</v>
      </c>
      <c r="AI13" s="7">
        <v>73.725670992925799</v>
      </c>
      <c r="AJ13" s="7">
        <v>382.353823759546</v>
      </c>
      <c r="AK13" s="7">
        <v>73.570413471152804</v>
      </c>
      <c r="AL13" s="7">
        <v>1462.2482165583399</v>
      </c>
      <c r="AM13" s="7">
        <v>96.832480039569703</v>
      </c>
    </row>
    <row r="14" spans="1:39" x14ac:dyDescent="0.2">
      <c r="A14" s="12"/>
      <c r="B14" s="4" t="s">
        <v>137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</row>
    <row r="15" spans="1:39" x14ac:dyDescent="0.2">
      <c r="A15" s="12"/>
      <c r="B15" s="4" t="s">
        <v>138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</row>
    <row r="16" spans="1:39" x14ac:dyDescent="0.2">
      <c r="A16" s="12"/>
      <c r="B16" s="4" t="s">
        <v>127</v>
      </c>
      <c r="C16" s="7">
        <v>0</v>
      </c>
      <c r="D16" s="7">
        <v>0</v>
      </c>
      <c r="E16" s="7">
        <v>5595.3086977169696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1462.43874722189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5595.3086977169696</v>
      </c>
      <c r="AJ16" s="7">
        <v>0</v>
      </c>
      <c r="AK16" s="7">
        <v>0</v>
      </c>
      <c r="AL16" s="7">
        <v>0</v>
      </c>
      <c r="AM16" s="7">
        <v>0</v>
      </c>
    </row>
    <row r="17" spans="1:39" x14ac:dyDescent="0.2">
      <c r="A17" s="12"/>
      <c r="B17" s="4" t="s">
        <v>121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3602.8254572904498</v>
      </c>
      <c r="U17" s="7">
        <v>276.68733310477501</v>
      </c>
      <c r="V17" s="7">
        <v>286.304818897806</v>
      </c>
      <c r="W17" s="7">
        <v>294.02477752717499</v>
      </c>
      <c r="X17" s="7">
        <v>8575.28886814414</v>
      </c>
      <c r="Y17" s="7">
        <v>311.239686328353</v>
      </c>
      <c r="Z17" s="7">
        <v>325.01598333729601</v>
      </c>
      <c r="AA17" s="7">
        <v>336.03223680975202</v>
      </c>
      <c r="AB17" s="7">
        <v>344.70468474362099</v>
      </c>
      <c r="AC17" s="7">
        <v>340.00416172837703</v>
      </c>
      <c r="AD17" s="7">
        <v>348.34426917672698</v>
      </c>
      <c r="AE17" s="7">
        <v>398.98043245988498</v>
      </c>
      <c r="AF17" s="7">
        <v>403.40181538870502</v>
      </c>
      <c r="AG17" s="7">
        <v>508.139129882053</v>
      </c>
      <c r="AH17" s="7">
        <v>1226.61529380822</v>
      </c>
      <c r="AI17" s="7">
        <v>638.89757260838701</v>
      </c>
      <c r="AJ17" s="7">
        <v>409.47979368464303</v>
      </c>
      <c r="AK17" s="7">
        <v>154.114569474284</v>
      </c>
      <c r="AL17" s="7">
        <v>678.61305066972</v>
      </c>
      <c r="AM17" s="7">
        <v>0</v>
      </c>
    </row>
    <row r="18" spans="1:39" ht="15" customHeight="1" x14ac:dyDescent="0.2">
      <c r="A18" s="12"/>
      <c r="B18" s="4" t="s">
        <v>126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3518.8316770606598</v>
      </c>
      <c r="U18" s="7">
        <v>1098.8012645961901</v>
      </c>
      <c r="V18" s="7">
        <v>1329.8072928322499</v>
      </c>
      <c r="W18" s="7">
        <v>542.04981170882297</v>
      </c>
      <c r="X18" s="7">
        <v>564.32135021674901</v>
      </c>
      <c r="Y18" s="7">
        <v>793.866489592324</v>
      </c>
      <c r="Z18" s="7">
        <v>561.43873025173195</v>
      </c>
      <c r="AA18" s="7">
        <v>554.86886109149805</v>
      </c>
      <c r="AB18" s="7">
        <v>539.46315639027705</v>
      </c>
      <c r="AC18" s="7">
        <v>542.19489927108805</v>
      </c>
      <c r="AD18" s="7">
        <v>541.72913258958999</v>
      </c>
      <c r="AE18" s="7">
        <v>598.03818541508394</v>
      </c>
      <c r="AF18" s="7">
        <v>604.52229411188</v>
      </c>
      <c r="AG18" s="7">
        <v>589.11739067762005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</row>
    <row r="19" spans="1:39" x14ac:dyDescent="0.2">
      <c r="A19" s="12"/>
      <c r="B19" s="4" t="s">
        <v>130</v>
      </c>
      <c r="C19" s="7">
        <v>0</v>
      </c>
      <c r="D19" s="7">
        <v>837.51958354964597</v>
      </c>
      <c r="E19" s="7">
        <v>68.982526280313493</v>
      </c>
      <c r="F19" s="7">
        <v>55.388155336035403</v>
      </c>
      <c r="G19" s="7">
        <v>0</v>
      </c>
      <c r="H19" s="7">
        <v>31.723000592205601</v>
      </c>
      <c r="I19" s="7">
        <v>101.489843324275</v>
      </c>
      <c r="J19" s="7">
        <v>336.78917060724399</v>
      </c>
      <c r="K19" s="7">
        <v>353.083122968851</v>
      </c>
      <c r="L19" s="7">
        <v>330.74777947257297</v>
      </c>
      <c r="M19" s="7">
        <v>423.94963610170998</v>
      </c>
      <c r="N19" s="7">
        <v>51.717803732600899</v>
      </c>
      <c r="O19" s="7">
        <v>55.634169254381597</v>
      </c>
      <c r="P19" s="7">
        <v>33.663340257572401</v>
      </c>
      <c r="Q19" s="7">
        <v>0</v>
      </c>
      <c r="R19" s="7">
        <v>0</v>
      </c>
      <c r="S19" s="7">
        <v>0</v>
      </c>
      <c r="T19" s="7">
        <v>0</v>
      </c>
      <c r="U19" s="7">
        <v>174.89531898769101</v>
      </c>
      <c r="V19" s="7">
        <v>260.75754501848701</v>
      </c>
      <c r="W19" s="7">
        <v>222.19139272910701</v>
      </c>
      <c r="X19" s="7">
        <v>546.61330550548098</v>
      </c>
      <c r="Y19" s="7">
        <v>1417.1230033222901</v>
      </c>
      <c r="Z19" s="7">
        <v>281.92008399359003</v>
      </c>
      <c r="AA19" s="7">
        <v>1034.73215034536</v>
      </c>
      <c r="AB19" s="7">
        <v>225.940877151216</v>
      </c>
      <c r="AC19" s="7">
        <v>531.338798669874</v>
      </c>
      <c r="AD19" s="7">
        <v>213.30594830459299</v>
      </c>
      <c r="AE19" s="7">
        <v>212.52017750433001</v>
      </c>
      <c r="AF19" s="7">
        <v>1892.4863981999199</v>
      </c>
      <c r="AG19" s="7">
        <v>203.071842935722</v>
      </c>
      <c r="AH19" s="7">
        <v>667.28619580707698</v>
      </c>
      <c r="AI19" s="7">
        <v>417.22561187071102</v>
      </c>
      <c r="AJ19" s="7">
        <v>470.952518444166</v>
      </c>
      <c r="AK19" s="7">
        <v>457.112395365662</v>
      </c>
      <c r="AL19" s="7">
        <v>187.05183737853699</v>
      </c>
      <c r="AM19" s="7">
        <v>446.67628548065898</v>
      </c>
    </row>
    <row r="20" spans="1:39" x14ac:dyDescent="0.2">
      <c r="A20" s="12"/>
      <c r="B20" s="4" t="s">
        <v>124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</row>
    <row r="21" spans="1:39" x14ac:dyDescent="0.2">
      <c r="A21" s="12"/>
      <c r="B21" s="4" t="s">
        <v>132</v>
      </c>
      <c r="C21" s="7">
        <v>0</v>
      </c>
      <c r="D21" s="7">
        <v>1081.95390043054</v>
      </c>
      <c r="E21" s="7">
        <v>107.175275974535</v>
      </c>
      <c r="F21" s="7">
        <v>949.22943474343003</v>
      </c>
      <c r="G21" s="7">
        <v>0</v>
      </c>
      <c r="H21" s="7">
        <v>671.57712888549304</v>
      </c>
      <c r="I21" s="7">
        <v>50.2119421232562</v>
      </c>
      <c r="J21" s="7">
        <v>0</v>
      </c>
      <c r="K21" s="7">
        <v>0</v>
      </c>
      <c r="L21" s="7">
        <v>0</v>
      </c>
      <c r="M21" s="7">
        <v>32.445592194164398</v>
      </c>
      <c r="N21" s="7">
        <v>206.10956752832701</v>
      </c>
      <c r="O21" s="7">
        <v>2107.0897484038801</v>
      </c>
      <c r="P21" s="7">
        <v>153.79664885332301</v>
      </c>
      <c r="Q21" s="7">
        <v>185.58873571043199</v>
      </c>
      <c r="R21" s="7">
        <v>288.23694639601501</v>
      </c>
      <c r="S21" s="7">
        <v>243.15823620829499</v>
      </c>
      <c r="T21" s="7">
        <v>1014.27929879424</v>
      </c>
      <c r="U21" s="7">
        <v>0</v>
      </c>
      <c r="V21" s="7">
        <v>358.80890389121799</v>
      </c>
      <c r="W21" s="7">
        <v>193.235494997214</v>
      </c>
      <c r="X21" s="7">
        <v>1196.72836658091</v>
      </c>
      <c r="Y21" s="7">
        <v>597.234269184715</v>
      </c>
      <c r="Z21" s="7">
        <v>1065.072806547</v>
      </c>
      <c r="AA21" s="7">
        <v>194.055021644525</v>
      </c>
      <c r="AB21" s="7">
        <v>828.940113655961</v>
      </c>
      <c r="AC21" s="7">
        <v>256.23549730576298</v>
      </c>
      <c r="AD21" s="7">
        <v>217.83598596071599</v>
      </c>
      <c r="AE21" s="7">
        <v>254.64026780734599</v>
      </c>
      <c r="AF21" s="7">
        <v>248.29143985365999</v>
      </c>
      <c r="AG21" s="7">
        <v>257.30026964240301</v>
      </c>
      <c r="AH21" s="7">
        <v>467.84344297636397</v>
      </c>
      <c r="AI21" s="7">
        <v>2363.1628714777498</v>
      </c>
      <c r="AJ21" s="7">
        <v>517.42557334384298</v>
      </c>
      <c r="AK21" s="7">
        <v>545.47832729936897</v>
      </c>
      <c r="AL21" s="7">
        <v>485.20546478393101</v>
      </c>
      <c r="AM21" s="7">
        <v>540.32875410602298</v>
      </c>
    </row>
    <row r="22" spans="1:39" x14ac:dyDescent="0.2">
      <c r="A22" s="12"/>
      <c r="B22" s="4" t="s">
        <v>129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198.04674249299401</v>
      </c>
      <c r="S22" s="7">
        <v>242.629740761238</v>
      </c>
      <c r="T22" s="7">
        <v>2365.9837166284901</v>
      </c>
      <c r="U22" s="7">
        <v>3311.1516499116801</v>
      </c>
      <c r="V22" s="7">
        <v>131.24915112339599</v>
      </c>
      <c r="W22" s="7">
        <v>134.08237857424999</v>
      </c>
      <c r="X22" s="7">
        <v>386.72327552735601</v>
      </c>
      <c r="Y22" s="7">
        <v>923.40293423569995</v>
      </c>
      <c r="Z22" s="7">
        <v>853.48863766387501</v>
      </c>
      <c r="AA22" s="7">
        <v>1493.4270567098999</v>
      </c>
      <c r="AB22" s="7">
        <v>150.52618129882401</v>
      </c>
      <c r="AC22" s="7">
        <v>1348.1502618882901</v>
      </c>
      <c r="AD22" s="7">
        <v>156.696430164411</v>
      </c>
      <c r="AE22" s="7">
        <v>145.77936108936501</v>
      </c>
      <c r="AF22" s="7">
        <v>934.54085224155006</v>
      </c>
      <c r="AG22" s="7">
        <v>156.71807527764301</v>
      </c>
      <c r="AH22" s="7">
        <v>161.87713110754299</v>
      </c>
      <c r="AI22" s="7">
        <v>901.18967026800601</v>
      </c>
      <c r="AJ22" s="7">
        <v>171.51685652470201</v>
      </c>
      <c r="AK22" s="7">
        <v>231.023726286618</v>
      </c>
      <c r="AL22" s="7">
        <v>364.61099038725501</v>
      </c>
      <c r="AM22" s="7">
        <v>366.76568906766499</v>
      </c>
    </row>
    <row r="23" spans="1:39" x14ac:dyDescent="0.2">
      <c r="A23" s="12"/>
      <c r="B23" s="4" t="s">
        <v>123</v>
      </c>
      <c r="C23" s="7">
        <v>1968.13547330644</v>
      </c>
      <c r="D23" s="7">
        <v>0</v>
      </c>
      <c r="E23" s="7">
        <v>2510.6963081652302</v>
      </c>
      <c r="F23" s="7">
        <v>273.78163329244001</v>
      </c>
      <c r="G23" s="7">
        <v>904.54442029199799</v>
      </c>
      <c r="H23" s="7">
        <v>1937.74053889216</v>
      </c>
      <c r="I23" s="7">
        <v>1392.0573124149601</v>
      </c>
      <c r="J23" s="7">
        <v>422.21833755960103</v>
      </c>
      <c r="K23" s="7">
        <v>444.991340923471</v>
      </c>
      <c r="L23" s="7">
        <v>1163.2566578332001</v>
      </c>
      <c r="M23" s="7">
        <v>2110.87830005767</v>
      </c>
      <c r="N23" s="7">
        <v>545.20256873383403</v>
      </c>
      <c r="O23" s="7">
        <v>1450.6045580750399</v>
      </c>
      <c r="P23" s="7">
        <v>678.79872901209797</v>
      </c>
      <c r="Q23" s="7">
        <v>768.35742827922104</v>
      </c>
      <c r="R23" s="7">
        <v>743.80759202962895</v>
      </c>
      <c r="S23" s="7">
        <v>1321.31691785352</v>
      </c>
      <c r="T23" s="7">
        <v>14798.0217564623</v>
      </c>
      <c r="U23" s="7">
        <v>941.71995924059797</v>
      </c>
      <c r="V23" s="7">
        <v>1419.2378549530499</v>
      </c>
      <c r="W23" s="7">
        <v>905.29872950505796</v>
      </c>
      <c r="X23" s="7">
        <v>927.80659235031203</v>
      </c>
      <c r="Y23" s="7">
        <v>3805.84728335209</v>
      </c>
      <c r="Z23" s="7">
        <v>978.11511002900295</v>
      </c>
      <c r="AA23" s="7">
        <v>1003.12462305124</v>
      </c>
      <c r="AB23" s="7">
        <v>3001.5235509286899</v>
      </c>
      <c r="AC23" s="7">
        <v>1071.0294654655199</v>
      </c>
      <c r="AD23" s="7">
        <v>3623.5430818869199</v>
      </c>
      <c r="AE23" s="7">
        <v>1497.6026157213901</v>
      </c>
      <c r="AF23" s="7">
        <v>2141.9450051787298</v>
      </c>
      <c r="AG23" s="7">
        <v>3175.8070876429401</v>
      </c>
      <c r="AH23" s="7">
        <v>2609.6136387660899</v>
      </c>
      <c r="AI23" s="7">
        <v>1655.1121680813501</v>
      </c>
      <c r="AJ23" s="7">
        <v>1681.6372149434201</v>
      </c>
      <c r="AK23" s="7">
        <v>2410.1962237074699</v>
      </c>
      <c r="AL23" s="7">
        <v>3341.81014634948</v>
      </c>
      <c r="AM23" s="7">
        <v>1806.8418202958201</v>
      </c>
    </row>
    <row r="24" spans="1:39" x14ac:dyDescent="0.2">
      <c r="A24" s="12" t="s">
        <v>1</v>
      </c>
      <c r="B24" s="4" t="s">
        <v>133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</row>
    <row r="25" spans="1:39" x14ac:dyDescent="0.2">
      <c r="A25" s="12"/>
      <c r="B25" s="4" t="s">
        <v>134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</row>
    <row r="26" spans="1:39" x14ac:dyDescent="0.2">
      <c r="A26" s="12"/>
      <c r="B26" s="4" t="s">
        <v>135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</row>
    <row r="27" spans="1:39" x14ac:dyDescent="0.2">
      <c r="A27" s="12"/>
      <c r="B27" s="4" t="s">
        <v>136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</row>
    <row r="28" spans="1:39" x14ac:dyDescent="0.2">
      <c r="A28" s="12"/>
      <c r="B28" s="4" t="s">
        <v>122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</row>
    <row r="29" spans="1:39" x14ac:dyDescent="0.2">
      <c r="A29" s="12"/>
      <c r="B29" s="4" t="s">
        <v>128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</row>
    <row r="30" spans="1:39" x14ac:dyDescent="0.2">
      <c r="A30" s="12"/>
      <c r="B30" s="4" t="s">
        <v>120</v>
      </c>
      <c r="C30" s="7">
        <v>19.177500187377401</v>
      </c>
      <c r="D30" s="7">
        <v>17.803062031316099</v>
      </c>
      <c r="E30" s="7">
        <v>16.912008990252001</v>
      </c>
      <c r="F30" s="7">
        <v>106.60148628951499</v>
      </c>
      <c r="G30" s="7">
        <v>190.349646877532</v>
      </c>
      <c r="H30" s="7">
        <v>12.3744733265018</v>
      </c>
      <c r="I30" s="7">
        <v>10.423323092292801</v>
      </c>
      <c r="J30" s="7">
        <v>8.2431505269302505</v>
      </c>
      <c r="K30" s="7">
        <v>7.6284696234662697</v>
      </c>
      <c r="L30" s="7">
        <v>6.9643068955528502</v>
      </c>
      <c r="M30" s="7">
        <v>4.38023132703945</v>
      </c>
      <c r="N30" s="7">
        <v>4.23209472400168</v>
      </c>
      <c r="O30" s="7">
        <v>4.13543354585582</v>
      </c>
      <c r="P30" s="7">
        <v>3.5400321525097702</v>
      </c>
      <c r="Q30" s="7">
        <v>3.4591777053213901</v>
      </c>
      <c r="R30" s="7">
        <v>2.8460393493501299</v>
      </c>
      <c r="S30" s="7">
        <v>2.1344643991660699</v>
      </c>
      <c r="T30" s="7">
        <v>2.2632098267453102</v>
      </c>
      <c r="U30" s="7">
        <v>2.2333927654269399</v>
      </c>
      <c r="V30" s="7">
        <v>1.8379516814330601</v>
      </c>
      <c r="W30" s="7">
        <v>1.8142123718710099</v>
      </c>
      <c r="X30" s="7">
        <v>1.7910152683349601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</row>
    <row r="31" spans="1:39" x14ac:dyDescent="0.2">
      <c r="A31" s="12"/>
      <c r="B31" s="4" t="s">
        <v>131</v>
      </c>
      <c r="C31" s="7">
        <v>1E-3</v>
      </c>
      <c r="D31" s="7">
        <v>1E-3</v>
      </c>
      <c r="E31" s="7">
        <v>1E-3</v>
      </c>
      <c r="F31" s="7">
        <v>1E-3</v>
      </c>
      <c r="G31" s="7">
        <v>1E-3</v>
      </c>
      <c r="H31" s="7">
        <v>1E-3</v>
      </c>
      <c r="I31" s="7">
        <v>1E-3</v>
      </c>
      <c r="J31" s="7">
        <v>1E-3</v>
      </c>
      <c r="K31" s="7">
        <v>1E-3</v>
      </c>
      <c r="L31" s="7">
        <v>1E-3</v>
      </c>
      <c r="M31" s="7">
        <v>1E-3</v>
      </c>
      <c r="N31" s="7">
        <v>1E-3</v>
      </c>
      <c r="O31" s="7">
        <v>1E-3</v>
      </c>
      <c r="P31" s="7">
        <v>1E-3</v>
      </c>
      <c r="Q31" s="7">
        <v>1E-3</v>
      </c>
      <c r="R31" s="7">
        <v>1E-3</v>
      </c>
      <c r="S31" s="7">
        <v>1E-3</v>
      </c>
      <c r="T31" s="7">
        <v>1E-3</v>
      </c>
      <c r="U31" s="7">
        <v>1E-3</v>
      </c>
      <c r="V31" s="7">
        <v>1E-3</v>
      </c>
      <c r="W31" s="7">
        <v>1E-3</v>
      </c>
      <c r="X31" s="7">
        <v>1E-3</v>
      </c>
      <c r="Y31" s="7">
        <v>1E-3</v>
      </c>
      <c r="Z31" s="7">
        <v>1E-3</v>
      </c>
      <c r="AA31" s="7">
        <v>1E-3</v>
      </c>
      <c r="AB31" s="7">
        <v>1E-3</v>
      </c>
      <c r="AC31" s="7">
        <v>1E-3</v>
      </c>
      <c r="AD31" s="7">
        <v>1E-3</v>
      </c>
      <c r="AE31" s="7">
        <v>1E-3</v>
      </c>
      <c r="AF31" s="7">
        <v>1E-3</v>
      </c>
      <c r="AG31" s="7">
        <v>1E-3</v>
      </c>
      <c r="AH31" s="7">
        <v>1E-3</v>
      </c>
      <c r="AI31" s="7">
        <v>1E-3</v>
      </c>
      <c r="AJ31" s="7">
        <v>1E-3</v>
      </c>
      <c r="AK31" s="7">
        <v>1E-3</v>
      </c>
      <c r="AL31" s="7">
        <v>1E-3</v>
      </c>
      <c r="AM31" s="7">
        <v>1E-3</v>
      </c>
    </row>
    <row r="32" spans="1:39" x14ac:dyDescent="0.2">
      <c r="A32" s="12"/>
      <c r="B32" s="4" t="s">
        <v>119</v>
      </c>
      <c r="C32" s="7">
        <v>0.84460911164127905</v>
      </c>
      <c r="D32" s="7">
        <v>0.85419239258086899</v>
      </c>
      <c r="E32" s="7">
        <v>0.86229974264404696</v>
      </c>
      <c r="F32" s="7">
        <v>1.5947869187525501</v>
      </c>
      <c r="G32" s="7">
        <v>2.3489354403846399</v>
      </c>
      <c r="H32" s="7">
        <v>3.1244823711743699</v>
      </c>
      <c r="I32" s="7">
        <v>3.92811951368164</v>
      </c>
      <c r="J32" s="7">
        <v>4.7665638748546302</v>
      </c>
      <c r="K32" s="7">
        <v>5.6455099927795604</v>
      </c>
      <c r="L32" s="7">
        <v>6.57425472490457</v>
      </c>
      <c r="M32" s="7">
        <v>7.56120242109239</v>
      </c>
      <c r="N32" s="7">
        <v>8.6149193399782806</v>
      </c>
      <c r="O32" s="7">
        <v>9.7438751602688694</v>
      </c>
      <c r="P32" s="7">
        <v>10.9532366410596</v>
      </c>
      <c r="Q32" s="7">
        <v>12.252314931888399</v>
      </c>
      <c r="R32" s="7">
        <v>13.647615309926501</v>
      </c>
      <c r="S32" s="7">
        <v>15.1446973407506</v>
      </c>
      <c r="T32" s="7">
        <v>16.7480385331747</v>
      </c>
      <c r="U32" s="7">
        <v>18.455382965988299</v>
      </c>
      <c r="V32" s="7">
        <v>20.2713413153818</v>
      </c>
      <c r="W32" s="7">
        <v>22.196203952428402</v>
      </c>
      <c r="X32" s="7">
        <v>24.229482627497799</v>
      </c>
      <c r="Y32" s="7">
        <v>26.369950428191</v>
      </c>
      <c r="Z32" s="7">
        <v>28.6075234985347</v>
      </c>
      <c r="AA32" s="7">
        <v>30.943660856305002</v>
      </c>
      <c r="AB32" s="7">
        <v>33.375504688964298</v>
      </c>
      <c r="AC32" s="7">
        <v>35.9003669647416</v>
      </c>
      <c r="AD32" s="7">
        <v>38.515736177466202</v>
      </c>
      <c r="AE32" s="7">
        <v>41.1906080050735</v>
      </c>
      <c r="AF32" s="7">
        <v>43.936816457604102</v>
      </c>
      <c r="AG32" s="7">
        <v>46.752587863451197</v>
      </c>
      <c r="AH32" s="7">
        <v>49.636831119394103</v>
      </c>
      <c r="AI32" s="7">
        <v>52.5884533526404</v>
      </c>
      <c r="AJ32" s="7">
        <v>55.606986909475097</v>
      </c>
      <c r="AK32" s="7">
        <v>58.692688874205302</v>
      </c>
      <c r="AL32" s="7">
        <v>61.846092791499601</v>
      </c>
      <c r="AM32" s="7">
        <v>65.068334880539695</v>
      </c>
    </row>
    <row r="33" spans="1:39" x14ac:dyDescent="0.2">
      <c r="A33" s="12"/>
      <c r="B33" s="4" t="s">
        <v>125</v>
      </c>
      <c r="C33" s="7">
        <v>204.83624376330101</v>
      </c>
      <c r="D33" s="7">
        <v>202.01262229376701</v>
      </c>
      <c r="E33" s="7">
        <v>197.622223215752</v>
      </c>
      <c r="F33" s="7">
        <v>86.003470431586607</v>
      </c>
      <c r="G33" s="7">
        <v>69.385628661392403</v>
      </c>
      <c r="H33" s="7">
        <v>68.167040177361002</v>
      </c>
      <c r="I33" s="7">
        <v>67.581726521747996</v>
      </c>
      <c r="J33" s="7">
        <v>67.066274545539002</v>
      </c>
      <c r="K33" s="7">
        <v>66.593020190332396</v>
      </c>
      <c r="L33" s="7">
        <v>66.183950046577095</v>
      </c>
      <c r="M33" s="7">
        <v>65.839989489816404</v>
      </c>
      <c r="N33" s="7">
        <v>65.555496758262805</v>
      </c>
      <c r="O33" s="7">
        <v>65.336503008094496</v>
      </c>
      <c r="P33" s="7">
        <v>65.174405786243398</v>
      </c>
      <c r="Q33" s="7">
        <v>65.084140086318897</v>
      </c>
      <c r="R33" s="7">
        <v>65.066794750316205</v>
      </c>
      <c r="S33" s="7">
        <v>65.118617171233197</v>
      </c>
      <c r="T33" s="7">
        <v>65.231029842730607</v>
      </c>
      <c r="U33" s="7">
        <v>65.360987861815801</v>
      </c>
      <c r="V33" s="7">
        <v>65.510777298580905</v>
      </c>
      <c r="W33" s="7">
        <v>65.6688712337114</v>
      </c>
      <c r="X33" s="7">
        <v>65.837129254620905</v>
      </c>
      <c r="Y33" s="7">
        <v>66.017503573563303</v>
      </c>
      <c r="Z33" s="7">
        <v>66.202117491637296</v>
      </c>
      <c r="AA33" s="7">
        <v>66.393169907817295</v>
      </c>
      <c r="AB33" s="7">
        <v>66.597498685397497</v>
      </c>
      <c r="AC33" s="7">
        <v>66.823930093762399</v>
      </c>
      <c r="AD33" s="7">
        <v>67.077232563432602</v>
      </c>
      <c r="AE33" s="7">
        <v>68.856598447916099</v>
      </c>
      <c r="AF33" s="7">
        <v>70.655682737879502</v>
      </c>
      <c r="AG33" s="7">
        <v>72.460851197333696</v>
      </c>
      <c r="AH33" s="7">
        <v>74.271929722420595</v>
      </c>
      <c r="AI33" s="7">
        <v>76.076021867451601</v>
      </c>
      <c r="AJ33" s="7">
        <v>77.874146083205304</v>
      </c>
      <c r="AK33" s="7">
        <v>79.674439024082403</v>
      </c>
      <c r="AL33" s="7">
        <v>81.477552346645695</v>
      </c>
      <c r="AM33" s="7">
        <v>83.2913213159582</v>
      </c>
    </row>
    <row r="34" spans="1:39" x14ac:dyDescent="0.2">
      <c r="A34" s="12"/>
      <c r="B34" s="4" t="s">
        <v>137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37.436613225352502</v>
      </c>
      <c r="J34" s="7">
        <v>74.388636633166101</v>
      </c>
      <c r="K34" s="7">
        <v>110.901155786489</v>
      </c>
      <c r="L34" s="7">
        <v>147.017305786912</v>
      </c>
      <c r="M34" s="7">
        <v>182.77832198927999</v>
      </c>
      <c r="N34" s="7">
        <v>218.223578960276</v>
      </c>
      <c r="O34" s="7">
        <v>253.390616190462</v>
      </c>
      <c r="P34" s="7">
        <v>288.31515139878201</v>
      </c>
      <c r="Q34" s="7">
        <v>323.031080703226</v>
      </c>
      <c r="R34" s="7">
        <v>357.57046428957102</v>
      </c>
      <c r="S34" s="7">
        <v>391.93951663898503</v>
      </c>
      <c r="T34" s="7">
        <v>426.11007360365801</v>
      </c>
      <c r="U34" s="7">
        <v>459.89296433447902</v>
      </c>
      <c r="V34" s="7">
        <v>493.21852449538102</v>
      </c>
      <c r="W34" s="7">
        <v>525.97710924220701</v>
      </c>
      <c r="X34" s="7">
        <v>558.128664233108</v>
      </c>
      <c r="Y34" s="7">
        <v>589.63596488956705</v>
      </c>
      <c r="Z34" s="7">
        <v>620.41418938859499</v>
      </c>
      <c r="AA34" s="7">
        <v>650.40503856801604</v>
      </c>
      <c r="AB34" s="7">
        <v>679.603779700568</v>
      </c>
      <c r="AC34" s="7">
        <v>708.025044676417</v>
      </c>
      <c r="AD34" s="7">
        <v>735.65945048854496</v>
      </c>
      <c r="AE34" s="7">
        <v>775.76562408635698</v>
      </c>
      <c r="AF34" s="7">
        <v>816.34293008962595</v>
      </c>
      <c r="AG34" s="7">
        <v>857.27083954768295</v>
      </c>
      <c r="AH34" s="7">
        <v>898.52469137130697</v>
      </c>
      <c r="AI34" s="7">
        <v>939.97674480328396</v>
      </c>
      <c r="AJ34" s="7">
        <v>981.60544428706601</v>
      </c>
      <c r="AK34" s="7">
        <v>1023.45068016465</v>
      </c>
      <c r="AL34" s="7">
        <v>1065.4936514649501</v>
      </c>
      <c r="AM34" s="7">
        <v>1107.7792805935201</v>
      </c>
    </row>
    <row r="35" spans="1:39" x14ac:dyDescent="0.2">
      <c r="A35" s="12"/>
      <c r="B35" s="4" t="s">
        <v>138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</row>
    <row r="36" spans="1:39" x14ac:dyDescent="0.2">
      <c r="A36" s="12"/>
      <c r="B36" s="4" t="s">
        <v>127</v>
      </c>
      <c r="C36" s="7">
        <v>223.90245882797299</v>
      </c>
      <c r="D36" s="7">
        <v>222.43414824850299</v>
      </c>
      <c r="E36" s="7">
        <v>120.572740913239</v>
      </c>
      <c r="F36" s="7">
        <v>114.805833393649</v>
      </c>
      <c r="G36" s="7">
        <v>114.805833393649</v>
      </c>
      <c r="H36" s="7">
        <v>114.805833393649</v>
      </c>
      <c r="I36" s="7">
        <v>114.805833393649</v>
      </c>
      <c r="J36" s="7">
        <v>114.805833393649</v>
      </c>
      <c r="K36" s="7">
        <v>114.805833393649</v>
      </c>
      <c r="L36" s="7">
        <v>114.805833393649</v>
      </c>
      <c r="M36" s="7">
        <v>114.805833393649</v>
      </c>
      <c r="N36" s="7">
        <v>114.805833393649</v>
      </c>
      <c r="O36" s="7">
        <v>114.805833393649</v>
      </c>
      <c r="P36" s="7">
        <v>114.805833393649</v>
      </c>
      <c r="Q36" s="7">
        <v>114.805833393649</v>
      </c>
      <c r="R36" s="7">
        <v>114.805833393649</v>
      </c>
      <c r="S36" s="7">
        <v>114.805833393649</v>
      </c>
      <c r="T36" s="7">
        <v>114.805833393649</v>
      </c>
      <c r="U36" s="7">
        <v>114.805833393649</v>
      </c>
      <c r="V36" s="7">
        <v>114.805833393649</v>
      </c>
      <c r="W36" s="7">
        <v>114.805833393649</v>
      </c>
      <c r="X36" s="7">
        <v>114.805833393649</v>
      </c>
      <c r="Y36" s="7">
        <v>101.748318076148</v>
      </c>
      <c r="Z36" s="7">
        <v>101.748318076148</v>
      </c>
      <c r="AA36" s="7">
        <v>101.748318076148</v>
      </c>
      <c r="AB36" s="7">
        <v>101.748318076148</v>
      </c>
      <c r="AC36" s="7">
        <v>101.748318076148</v>
      </c>
      <c r="AD36" s="7">
        <v>101.748318076148</v>
      </c>
      <c r="AE36" s="7">
        <v>101.748318076148</v>
      </c>
      <c r="AF36" s="7">
        <v>101.748318076148</v>
      </c>
      <c r="AG36" s="7">
        <v>101.748318076148</v>
      </c>
      <c r="AH36" s="7">
        <v>101.748318076148</v>
      </c>
      <c r="AI36" s="7">
        <v>101.748318076148</v>
      </c>
      <c r="AJ36" s="7">
        <v>101.748318076148</v>
      </c>
      <c r="AK36" s="7">
        <v>101.748318076148</v>
      </c>
      <c r="AL36" s="7">
        <v>101.748318076148</v>
      </c>
      <c r="AM36" s="7">
        <v>101.748318076148</v>
      </c>
    </row>
    <row r="37" spans="1:39" x14ac:dyDescent="0.2">
      <c r="A37" s="12"/>
      <c r="B37" s="4" t="s">
        <v>121</v>
      </c>
      <c r="C37" s="7">
        <v>814.12869378820301</v>
      </c>
      <c r="D37" s="7">
        <v>631.00828593783297</v>
      </c>
      <c r="E37" s="7">
        <v>632.97299061853005</v>
      </c>
      <c r="F37" s="7">
        <v>633.61820979783795</v>
      </c>
      <c r="G37" s="7">
        <v>634.55051138954002</v>
      </c>
      <c r="H37" s="7">
        <v>635.56038739427299</v>
      </c>
      <c r="I37" s="7">
        <v>638.993307371127</v>
      </c>
      <c r="J37" s="7">
        <v>642.72418969815897</v>
      </c>
      <c r="K37" s="7">
        <v>646.65572268061601</v>
      </c>
      <c r="L37" s="7">
        <v>650.89148680011704</v>
      </c>
      <c r="M37" s="7">
        <v>655.45244557869898</v>
      </c>
      <c r="N37" s="7">
        <v>660.33155579944605</v>
      </c>
      <c r="O37" s="7">
        <v>665.57297490583505</v>
      </c>
      <c r="P37" s="7">
        <v>671.15639229077897</v>
      </c>
      <c r="Q37" s="7">
        <v>677.16961685676904</v>
      </c>
      <c r="R37" s="7">
        <v>587.12254875960798</v>
      </c>
      <c r="S37" s="7">
        <v>594.05655630355295</v>
      </c>
      <c r="T37" s="7">
        <v>445.915541090256</v>
      </c>
      <c r="U37" s="7">
        <v>456.304670543388</v>
      </c>
      <c r="V37" s="7">
        <v>467.05491990683998</v>
      </c>
      <c r="W37" s="7">
        <v>478.09504032681502</v>
      </c>
      <c r="X37" s="7">
        <v>489.446569623465</v>
      </c>
      <c r="Y37" s="7">
        <v>501.13308001023802</v>
      </c>
      <c r="Z37" s="7">
        <v>513.16558546187605</v>
      </c>
      <c r="AA37" s="7">
        <v>525.53386059323498</v>
      </c>
      <c r="AB37" s="7">
        <v>538.26047817100005</v>
      </c>
      <c r="AC37" s="7">
        <v>551.27323645295905</v>
      </c>
      <c r="AD37" s="7">
        <v>564.74364680710005</v>
      </c>
      <c r="AE37" s="7">
        <v>579.72467002771498</v>
      </c>
      <c r="AF37" s="7">
        <v>594.87170850856501</v>
      </c>
      <c r="AG37" s="7">
        <v>611.10370230856995</v>
      </c>
      <c r="AH37" s="7">
        <v>634.55696447510797</v>
      </c>
      <c r="AI37" s="7">
        <v>652.08989426231699</v>
      </c>
      <c r="AJ37" s="7">
        <v>667.29178210682005</v>
      </c>
      <c r="AK37" s="7">
        <v>679.95341401672795</v>
      </c>
      <c r="AL37" s="7">
        <v>697.87745235645502</v>
      </c>
      <c r="AM37" s="7">
        <v>709.081180573545</v>
      </c>
    </row>
    <row r="38" spans="1:39" x14ac:dyDescent="0.2">
      <c r="A38" s="12"/>
      <c r="B38" s="4" t="s">
        <v>126</v>
      </c>
      <c r="C38" s="7">
        <v>925.72810593367296</v>
      </c>
      <c r="D38" s="7">
        <v>910.69299848525998</v>
      </c>
      <c r="E38" s="7">
        <v>890.98365806386698</v>
      </c>
      <c r="F38" s="7">
        <v>865.81293829133404</v>
      </c>
      <c r="G38" s="7">
        <v>846.73484628895903</v>
      </c>
      <c r="H38" s="7">
        <v>828.092498548923</v>
      </c>
      <c r="I38" s="7">
        <v>809.87594264191603</v>
      </c>
      <c r="J38" s="7">
        <v>792.07545343800405</v>
      </c>
      <c r="K38" s="7">
        <v>774.68152805552302</v>
      </c>
      <c r="L38" s="7">
        <v>757.684880304883</v>
      </c>
      <c r="M38" s="7">
        <v>741.07643664768204</v>
      </c>
      <c r="N38" s="7">
        <v>724.84733013539403</v>
      </c>
      <c r="O38" s="7">
        <v>708.17026941172196</v>
      </c>
      <c r="P38" s="7">
        <v>692.69274099181405</v>
      </c>
      <c r="Q38" s="7">
        <v>666.10437484661099</v>
      </c>
      <c r="R38" s="7">
        <v>651.58763288479895</v>
      </c>
      <c r="S38" s="7">
        <v>637.40245357007996</v>
      </c>
      <c r="T38" s="7">
        <v>678.26570438222598</v>
      </c>
      <c r="U38" s="7">
        <v>680.10351990896299</v>
      </c>
      <c r="V38" s="7">
        <v>685.94803726851501</v>
      </c>
      <c r="W38" s="7">
        <v>679.40795787198294</v>
      </c>
      <c r="X38" s="7">
        <v>673.25279589001298</v>
      </c>
      <c r="Y38" s="7">
        <v>669.83598935722898</v>
      </c>
      <c r="Z38" s="7">
        <v>663.96544377594705</v>
      </c>
      <c r="AA38" s="7">
        <v>658.00272667927402</v>
      </c>
      <c r="AB38" s="7">
        <v>651.99602664185397</v>
      </c>
      <c r="AC38" s="7">
        <v>646.233668461143</v>
      </c>
      <c r="AD38" s="7">
        <v>640.59567932745495</v>
      </c>
      <c r="AE38" s="7">
        <v>649.89629609241194</v>
      </c>
      <c r="AF38" s="7">
        <v>659.29775292330703</v>
      </c>
      <c r="AG38" s="7">
        <v>668.45963457884102</v>
      </c>
      <c r="AH38" s="7">
        <v>668.45963457884102</v>
      </c>
      <c r="AI38" s="7">
        <v>668.45963457884102</v>
      </c>
      <c r="AJ38" s="7">
        <v>668.45963457884102</v>
      </c>
      <c r="AK38" s="7">
        <v>668.45963457884102</v>
      </c>
      <c r="AL38" s="7">
        <v>668.45963457884102</v>
      </c>
      <c r="AM38" s="7">
        <v>668.45963457884102</v>
      </c>
    </row>
    <row r="39" spans="1:39" x14ac:dyDescent="0.2">
      <c r="A39" s="12"/>
      <c r="B39" s="4" t="s">
        <v>130</v>
      </c>
      <c r="C39" s="7">
        <v>111.453737883367</v>
      </c>
      <c r="D39" s="7">
        <v>119.899179651987</v>
      </c>
      <c r="E39" s="7">
        <v>118.04528265177601</v>
      </c>
      <c r="F39" s="7">
        <v>116.043177293382</v>
      </c>
      <c r="G39" s="7">
        <v>113.392747459365</v>
      </c>
      <c r="H39" s="7">
        <v>111.227098487346</v>
      </c>
      <c r="I39" s="7">
        <v>110.09588542419699</v>
      </c>
      <c r="J39" s="7">
        <v>112.455776840474</v>
      </c>
      <c r="K39" s="7">
        <v>114.958659294518</v>
      </c>
      <c r="L39" s="7">
        <v>117.048517815681</v>
      </c>
      <c r="M39" s="7">
        <v>120.38116767250899</v>
      </c>
      <c r="N39" s="7">
        <v>118.359906736976</v>
      </c>
      <c r="O39" s="7">
        <v>116.434802966913</v>
      </c>
      <c r="P39" s="7">
        <v>114.243359517765</v>
      </c>
      <c r="Q39" s="7">
        <v>111.63403757502201</v>
      </c>
      <c r="R39" s="7">
        <v>109.084312624148</v>
      </c>
      <c r="S39" s="7">
        <v>106.59282349086401</v>
      </c>
      <c r="T39" s="7">
        <v>104.158240031223</v>
      </c>
      <c r="U39" s="7">
        <v>104.150558985126</v>
      </c>
      <c r="V39" s="7">
        <v>104.169435139614</v>
      </c>
      <c r="W39" s="7">
        <v>104.19629177566399</v>
      </c>
      <c r="X39" s="7">
        <v>104.233898317401</v>
      </c>
      <c r="Y39" s="7">
        <v>104.285140357598</v>
      </c>
      <c r="Z39" s="7">
        <v>104.33737990599801</v>
      </c>
      <c r="AA39" s="7">
        <v>104.393932122907</v>
      </c>
      <c r="AB39" s="7">
        <v>104.46535371859299</v>
      </c>
      <c r="AC39" s="7">
        <v>104.565205263471</v>
      </c>
      <c r="AD39" s="7">
        <v>104.737756979031</v>
      </c>
      <c r="AE39" s="7">
        <v>107.55778679943499</v>
      </c>
      <c r="AF39" s="7">
        <v>110.409182321542</v>
      </c>
      <c r="AG39" s="7">
        <v>113.103837763149</v>
      </c>
      <c r="AH39" s="7">
        <v>115.93074261305</v>
      </c>
      <c r="AI39" s="7">
        <v>120.97063752986701</v>
      </c>
      <c r="AJ39" s="7">
        <v>126.82129863241801</v>
      </c>
      <c r="AK39" s="7">
        <v>132.886937205403</v>
      </c>
      <c r="AL39" s="7">
        <v>135.113827029807</v>
      </c>
      <c r="AM39" s="7">
        <v>140.173508920942</v>
      </c>
    </row>
    <row r="40" spans="1:39" x14ac:dyDescent="0.2">
      <c r="A40" s="12"/>
      <c r="B40" s="4" t="s">
        <v>124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</row>
    <row r="41" spans="1:39" x14ac:dyDescent="0.2">
      <c r="A41" s="12"/>
      <c r="B41" s="4" t="s">
        <v>132</v>
      </c>
      <c r="C41" s="7">
        <v>287.67333234313799</v>
      </c>
      <c r="D41" s="7">
        <v>352.09085595232301</v>
      </c>
      <c r="E41" s="7">
        <v>346.646780586435</v>
      </c>
      <c r="F41" s="7">
        <v>402.57651263033</v>
      </c>
      <c r="G41" s="7">
        <v>384.14564891130101</v>
      </c>
      <c r="H41" s="7">
        <v>415.26097449515498</v>
      </c>
      <c r="I41" s="7">
        <v>409.00064091021898</v>
      </c>
      <c r="J41" s="7">
        <v>394.50069313766102</v>
      </c>
      <c r="K41" s="7">
        <v>380.113705492799</v>
      </c>
      <c r="L41" s="7">
        <v>370.15708260951601</v>
      </c>
      <c r="M41" s="7">
        <v>355.51885037409198</v>
      </c>
      <c r="N41" s="7">
        <v>354.727582361381</v>
      </c>
      <c r="O41" s="7">
        <v>354.364235503207</v>
      </c>
      <c r="P41" s="7">
        <v>354.88943630150499</v>
      </c>
      <c r="Q41" s="7">
        <v>356.91528570942597</v>
      </c>
      <c r="R41" s="7">
        <v>359.99979403067101</v>
      </c>
      <c r="S41" s="7">
        <v>363.70584560006398</v>
      </c>
      <c r="T41" s="7">
        <v>372.43428858528199</v>
      </c>
      <c r="U41" s="7">
        <v>363.927877684338</v>
      </c>
      <c r="V41" s="7">
        <v>358.17739180949098</v>
      </c>
      <c r="W41" s="7">
        <v>359.405889257551</v>
      </c>
      <c r="X41" s="7">
        <v>360.30214230167502</v>
      </c>
      <c r="Y41" s="7">
        <v>375.36624294240801</v>
      </c>
      <c r="Z41" s="7">
        <v>375.41362388486101</v>
      </c>
      <c r="AA41" s="7">
        <v>375.56208083063399</v>
      </c>
      <c r="AB41" s="7">
        <v>375.91132924491001</v>
      </c>
      <c r="AC41" s="7">
        <v>376.36149268614798</v>
      </c>
      <c r="AD41" s="7">
        <v>376.98815687772998</v>
      </c>
      <c r="AE41" s="7">
        <v>387.769154514668</v>
      </c>
      <c r="AF41" s="7">
        <v>398.281354526803</v>
      </c>
      <c r="AG41" s="7">
        <v>407.87048502918498</v>
      </c>
      <c r="AH41" s="7">
        <v>419.36466997420899</v>
      </c>
      <c r="AI41" s="7">
        <v>434.19795106131397</v>
      </c>
      <c r="AJ41" s="7">
        <v>449.86786416538501</v>
      </c>
      <c r="AK41" s="7">
        <v>465.41172316466799</v>
      </c>
      <c r="AL41" s="7">
        <v>474.18921331486303</v>
      </c>
      <c r="AM41" s="7">
        <v>487.11346370438002</v>
      </c>
    </row>
    <row r="42" spans="1:39" x14ac:dyDescent="0.2">
      <c r="A42" s="12"/>
      <c r="B42" s="4" t="s">
        <v>129</v>
      </c>
      <c r="C42" s="7">
        <v>1772.6743159532</v>
      </c>
      <c r="D42" s="7">
        <v>2527.2184058615398</v>
      </c>
      <c r="E42" s="7">
        <v>2544.5595271020602</v>
      </c>
      <c r="F42" s="7">
        <v>2550.2544410120299</v>
      </c>
      <c r="G42" s="7">
        <v>2558.4832374786401</v>
      </c>
      <c r="H42" s="7">
        <v>2528.0960864078102</v>
      </c>
      <c r="I42" s="7">
        <v>2558.3961524240699</v>
      </c>
      <c r="J42" s="7">
        <v>2591.3261308594301</v>
      </c>
      <c r="K42" s="7">
        <v>2614.1801366203499</v>
      </c>
      <c r="L42" s="7">
        <v>2600.1641774155901</v>
      </c>
      <c r="M42" s="7">
        <v>2634.9133026536001</v>
      </c>
      <c r="N42" s="7">
        <v>2677.9779131852101</v>
      </c>
      <c r="O42" s="7">
        <v>2724.2403795442901</v>
      </c>
      <c r="P42" s="7">
        <v>2758.0518228454598</v>
      </c>
      <c r="Q42" s="7">
        <v>2811.12649471336</v>
      </c>
      <c r="R42" s="7">
        <v>2870.2214141357699</v>
      </c>
      <c r="S42" s="7">
        <v>2933.8495128540899</v>
      </c>
      <c r="T42" s="7">
        <v>3022.6262174027802</v>
      </c>
      <c r="U42" s="7">
        <v>3091.1938383348702</v>
      </c>
      <c r="V42" s="7">
        <v>3162.1213275395398</v>
      </c>
      <c r="W42" s="7">
        <v>3234.95425644652</v>
      </c>
      <c r="X42" s="7">
        <v>3309.8334957187999</v>
      </c>
      <c r="Y42" s="7">
        <v>3386.9127197214898</v>
      </c>
      <c r="Z42" s="7">
        <v>3465.8650417835302</v>
      </c>
      <c r="AA42" s="7">
        <v>3546.8439494920699</v>
      </c>
      <c r="AB42" s="7">
        <v>3630.25371465135</v>
      </c>
      <c r="AC42" s="7">
        <v>3716.6352853199</v>
      </c>
      <c r="AD42" s="7">
        <v>3806.3504679059101</v>
      </c>
      <c r="AE42" s="7">
        <v>3904.8203271618499</v>
      </c>
      <c r="AF42" s="7">
        <v>4004.4201459025198</v>
      </c>
      <c r="AG42" s="7">
        <v>4104.4061637343202</v>
      </c>
      <c r="AH42" s="7">
        <v>4204.7659923491201</v>
      </c>
      <c r="AI42" s="7">
        <v>4304.7948750966398</v>
      </c>
      <c r="AJ42" s="7">
        <v>4404.5448244665604</v>
      </c>
      <c r="AK42" s="7">
        <v>4505.0080826924996</v>
      </c>
      <c r="AL42" s="7">
        <v>4606.9609824136596</v>
      </c>
      <c r="AM42" s="7">
        <v>4709.5163811961502</v>
      </c>
    </row>
    <row r="43" spans="1:39" x14ac:dyDescent="0.2">
      <c r="A43" s="12"/>
      <c r="B43" s="4" t="s">
        <v>123</v>
      </c>
      <c r="C43" s="7">
        <v>3116.6736708426502</v>
      </c>
      <c r="D43" s="7">
        <v>2962.8961543927799</v>
      </c>
      <c r="E43" s="7">
        <v>3389.1000984082998</v>
      </c>
      <c r="F43" s="7">
        <v>3655.6167180149</v>
      </c>
      <c r="G43" s="7">
        <v>4039.85164318941</v>
      </c>
      <c r="H43" s="7">
        <v>4160.8189801564504</v>
      </c>
      <c r="I43" s="7">
        <v>3993.9563819098498</v>
      </c>
      <c r="J43" s="7">
        <v>3905.1211810525401</v>
      </c>
      <c r="K43" s="7">
        <v>3932.32947279059</v>
      </c>
      <c r="L43" s="7">
        <v>3955.3719656122298</v>
      </c>
      <c r="M43" s="7">
        <v>4050.0209448219498</v>
      </c>
      <c r="N43" s="7">
        <v>4157.8894571272103</v>
      </c>
      <c r="O43" s="7">
        <v>4327.1096217987697</v>
      </c>
      <c r="P43" s="7">
        <v>4441.5286821248701</v>
      </c>
      <c r="Q43" s="7">
        <v>4596.4988323457201</v>
      </c>
      <c r="R43" s="7">
        <v>4768.5385939847602</v>
      </c>
      <c r="S43" s="7">
        <v>4857.50587868204</v>
      </c>
      <c r="T43" s="7">
        <v>5012.2063769985198</v>
      </c>
      <c r="U43" s="7">
        <v>5170.8800708874096</v>
      </c>
      <c r="V43" s="7">
        <v>5335.5881068659501</v>
      </c>
      <c r="W43" s="7">
        <v>5505.5690055406603</v>
      </c>
      <c r="X43" s="7">
        <v>5681.16145332826</v>
      </c>
      <c r="Y43" s="7">
        <v>5862.7560011994201</v>
      </c>
      <c r="Z43" s="7">
        <v>6049.8401991335404</v>
      </c>
      <c r="AA43" s="7">
        <v>6242.7746285190997</v>
      </c>
      <c r="AB43" s="7">
        <v>6442.3957315241996</v>
      </c>
      <c r="AC43" s="7">
        <v>6649.82197009432</v>
      </c>
      <c r="AD43" s="7">
        <v>6865.8551791262298</v>
      </c>
      <c r="AE43" s="7">
        <v>7101.13694797268</v>
      </c>
      <c r="AF43" s="7">
        <v>7341.2200860677403</v>
      </c>
      <c r="AG43" s="7">
        <v>7584.6888008922397</v>
      </c>
      <c r="AH43" s="7">
        <v>7831.3283053792702</v>
      </c>
      <c r="AI43" s="7">
        <v>8080.2305079062598</v>
      </c>
      <c r="AJ43" s="7">
        <v>8331.3652321988702</v>
      </c>
      <c r="AK43" s="7">
        <v>8585.6043935761409</v>
      </c>
      <c r="AL43" s="7">
        <v>8842.7562167101405</v>
      </c>
      <c r="AM43" s="7">
        <v>9104.0964970090008</v>
      </c>
    </row>
    <row r="45" spans="1:39" x14ac:dyDescent="0.2">
      <c r="C45" s="10" t="s">
        <v>79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  <row r="46" spans="1:39" x14ac:dyDescent="0.2">
      <c r="C46" s="10" t="s">
        <v>78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</row>
    <row r="47" spans="1:39" ht="15" customHeight="1" x14ac:dyDescent="0.2">
      <c r="C47" s="11" t="s">
        <v>2</v>
      </c>
      <c r="D47" s="11" t="s">
        <v>3</v>
      </c>
      <c r="E47" s="11" t="s">
        <v>4</v>
      </c>
      <c r="F47" s="11" t="s">
        <v>5</v>
      </c>
      <c r="G47" s="11" t="s">
        <v>6</v>
      </c>
      <c r="H47" s="11" t="s">
        <v>7</v>
      </c>
      <c r="I47" s="11" t="s">
        <v>8</v>
      </c>
      <c r="J47" s="11" t="s">
        <v>9</v>
      </c>
      <c r="K47" s="11" t="s">
        <v>10</v>
      </c>
      <c r="L47" s="11" t="s">
        <v>11</v>
      </c>
      <c r="M47" s="11" t="s">
        <v>12</v>
      </c>
      <c r="N47" s="11" t="s">
        <v>13</v>
      </c>
      <c r="O47" s="11" t="s">
        <v>14</v>
      </c>
      <c r="P47" s="11" t="s">
        <v>15</v>
      </c>
      <c r="Q47" s="11" t="s">
        <v>16</v>
      </c>
      <c r="R47" s="11" t="s">
        <v>17</v>
      </c>
      <c r="S47" s="11" t="s">
        <v>18</v>
      </c>
      <c r="T47" s="11" t="s">
        <v>19</v>
      </c>
      <c r="U47" s="11" t="s">
        <v>20</v>
      </c>
      <c r="V47" s="11" t="s">
        <v>21</v>
      </c>
      <c r="W47" s="11" t="s">
        <v>22</v>
      </c>
      <c r="X47" s="11" t="s">
        <v>23</v>
      </c>
      <c r="Y47" s="11" t="s">
        <v>24</v>
      </c>
      <c r="Z47" s="11" t="s">
        <v>25</v>
      </c>
      <c r="AA47" s="11" t="s">
        <v>26</v>
      </c>
      <c r="AB47" s="11" t="s">
        <v>27</v>
      </c>
      <c r="AC47" s="11" t="s">
        <v>28</v>
      </c>
      <c r="AD47" s="11" t="s">
        <v>29</v>
      </c>
      <c r="AE47" s="11" t="s">
        <v>30</v>
      </c>
      <c r="AF47" s="11" t="s">
        <v>31</v>
      </c>
      <c r="AG47" s="11" t="s">
        <v>32</v>
      </c>
      <c r="AH47" s="11" t="s">
        <v>33</v>
      </c>
      <c r="AI47" s="11" t="s">
        <v>34</v>
      </c>
      <c r="AJ47" s="11" t="s">
        <v>35</v>
      </c>
      <c r="AK47" s="11" t="s">
        <v>36</v>
      </c>
      <c r="AL47" s="11" t="s">
        <v>37</v>
      </c>
      <c r="AM47" s="11" t="s">
        <v>38</v>
      </c>
    </row>
    <row r="48" spans="1:39" x14ac:dyDescent="0.2">
      <c r="A48" s="12" t="s">
        <v>0</v>
      </c>
      <c r="B48" s="4" t="s">
        <v>133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</row>
    <row r="49" spans="1:39" x14ac:dyDescent="0.2">
      <c r="A49" s="12"/>
      <c r="B49" s="4" t="s">
        <v>134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</row>
    <row r="50" spans="1:39" x14ac:dyDescent="0.2">
      <c r="A50" s="12"/>
      <c r="B50" s="4" t="s">
        <v>135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</row>
    <row r="51" spans="1:39" x14ac:dyDescent="0.2">
      <c r="A51" s="12"/>
      <c r="B51" s="4" t="s">
        <v>136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</row>
    <row r="52" spans="1:39" x14ac:dyDescent="0.2">
      <c r="A52" s="12"/>
      <c r="B52" s="4" t="s">
        <v>122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</row>
    <row r="53" spans="1:39" x14ac:dyDescent="0.2">
      <c r="A53" s="12"/>
      <c r="B53" s="4" t="s">
        <v>128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</row>
    <row r="54" spans="1:39" x14ac:dyDescent="0.2">
      <c r="A54" s="12"/>
      <c r="B54" s="4" t="s">
        <v>120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</row>
    <row r="55" spans="1:39" x14ac:dyDescent="0.2">
      <c r="A55" s="12"/>
      <c r="B55" s="4" t="s">
        <v>131</v>
      </c>
      <c r="C55" s="7">
        <v>51.902558237164698</v>
      </c>
      <c r="D55" s="7">
        <v>40.998840845540997</v>
      </c>
      <c r="E55" s="7">
        <v>28.476362316652899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77.867867261255199</v>
      </c>
      <c r="X55" s="7">
        <v>391.45758375650098</v>
      </c>
      <c r="Y55" s="7">
        <v>300.92279834714901</v>
      </c>
      <c r="Z55" s="7">
        <v>427.723366792131</v>
      </c>
      <c r="AA55" s="7">
        <v>9.1106445049203195</v>
      </c>
      <c r="AB55" s="7">
        <v>1.3304861436547699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</row>
    <row r="56" spans="1:39" x14ac:dyDescent="0.2">
      <c r="A56" s="12"/>
      <c r="B56" s="4" t="s">
        <v>119</v>
      </c>
      <c r="C56" s="7">
        <v>9.0939510815845004E-2</v>
      </c>
      <c r="D56" s="7">
        <v>8.4500275738988204E-2</v>
      </c>
      <c r="E56" s="7">
        <v>0.15827755924377401</v>
      </c>
      <c r="F56" s="7">
        <v>15.5761399242782</v>
      </c>
      <c r="G56" s="7">
        <v>17.512375722593301</v>
      </c>
      <c r="H56" s="7">
        <v>21.841417907883301</v>
      </c>
      <c r="I56" s="7">
        <v>29.873415064548301</v>
      </c>
      <c r="J56" s="7">
        <v>33.634040325944</v>
      </c>
      <c r="K56" s="7">
        <v>37.587430071390997</v>
      </c>
      <c r="L56" s="7">
        <v>41.795041937759002</v>
      </c>
      <c r="M56" s="7">
        <v>46.196281216373599</v>
      </c>
      <c r="N56" s="7">
        <v>50.772348308295498</v>
      </c>
      <c r="O56" s="7">
        <v>55.510409121006802</v>
      </c>
      <c r="P56" s="7">
        <v>60.260973243066204</v>
      </c>
      <c r="Q56" s="7">
        <v>66.070045006364495</v>
      </c>
      <c r="R56" s="7">
        <v>62.805433158453198</v>
      </c>
      <c r="S56" s="7">
        <v>66.508977788876095</v>
      </c>
      <c r="T56" s="7">
        <v>70.1837618307176</v>
      </c>
      <c r="U56" s="7">
        <v>73.539144872748395</v>
      </c>
      <c r="V56" s="7">
        <v>76.242417740004697</v>
      </c>
      <c r="W56" s="7">
        <v>79.648712455883896</v>
      </c>
      <c r="X56" s="7">
        <v>82.990140711663798</v>
      </c>
      <c r="Y56" s="7">
        <v>86.388646586693895</v>
      </c>
      <c r="Z56" s="7">
        <v>104.693948654092</v>
      </c>
      <c r="AA56" s="7">
        <v>109.743184977073</v>
      </c>
      <c r="AB56" s="7">
        <v>117.206066831857</v>
      </c>
      <c r="AC56" s="7">
        <v>128.43693590784301</v>
      </c>
      <c r="AD56" s="7">
        <v>135.44617429215</v>
      </c>
      <c r="AE56" s="7">
        <v>139.339839590385</v>
      </c>
      <c r="AF56" s="7">
        <v>146.27104696905801</v>
      </c>
      <c r="AG56" s="7">
        <v>153.22197781660799</v>
      </c>
      <c r="AH56" s="7">
        <v>160.33129224112</v>
      </c>
      <c r="AI56" s="7">
        <v>167.405482841387</v>
      </c>
      <c r="AJ56" s="7">
        <v>321.20765768970699</v>
      </c>
      <c r="AK56" s="7">
        <v>190.49386746050101</v>
      </c>
      <c r="AL56" s="7">
        <v>292.77222737970999</v>
      </c>
      <c r="AM56" s="7">
        <v>0</v>
      </c>
    </row>
    <row r="57" spans="1:39" x14ac:dyDescent="0.2">
      <c r="A57" s="12"/>
      <c r="B57" s="4" t="s">
        <v>125</v>
      </c>
      <c r="C57" s="7">
        <v>0</v>
      </c>
      <c r="D57" s="7">
        <v>0</v>
      </c>
      <c r="E57" s="7">
        <v>0</v>
      </c>
      <c r="F57" s="7">
        <v>178.16577533524699</v>
      </c>
      <c r="G57" s="7">
        <v>664.99401878183198</v>
      </c>
      <c r="H57" s="7">
        <v>1809.2048223781301</v>
      </c>
      <c r="I57" s="7">
        <v>257.07307753232402</v>
      </c>
      <c r="J57" s="7">
        <v>261.852273338575</v>
      </c>
      <c r="K57" s="7">
        <v>326.93100805658298</v>
      </c>
      <c r="L57" s="7">
        <v>273.90298210063099</v>
      </c>
      <c r="M57" s="7">
        <v>280.41337583832001</v>
      </c>
      <c r="N57" s="7">
        <v>286.80730554002997</v>
      </c>
      <c r="O57" s="7">
        <v>293.54756896628101</v>
      </c>
      <c r="P57" s="7">
        <v>299.82312423634602</v>
      </c>
      <c r="Q57" s="7">
        <v>307.25565176953802</v>
      </c>
      <c r="R57" s="7">
        <v>315.212087449889</v>
      </c>
      <c r="S57" s="7">
        <v>322.65735382455699</v>
      </c>
      <c r="T57" s="7">
        <v>329.48181353919699</v>
      </c>
      <c r="U57" s="7">
        <v>332.67435646669099</v>
      </c>
      <c r="V57" s="7">
        <v>335.39508247487203</v>
      </c>
      <c r="W57" s="7">
        <v>336.41294315644302</v>
      </c>
      <c r="X57" s="7">
        <v>337.17514342242498</v>
      </c>
      <c r="Y57" s="7">
        <v>338.10603473892502</v>
      </c>
      <c r="Z57" s="7">
        <v>336.56677354457599</v>
      </c>
      <c r="AA57" s="7">
        <v>334.38107320656201</v>
      </c>
      <c r="AB57" s="7">
        <v>332.15376463320598</v>
      </c>
      <c r="AC57" s="7">
        <v>330.209898649867</v>
      </c>
      <c r="AD57" s="7">
        <v>328.16451520174502</v>
      </c>
      <c r="AE57" s="7">
        <v>338.349006851843</v>
      </c>
      <c r="AF57" s="7">
        <v>331.97181880634702</v>
      </c>
      <c r="AG57" s="7">
        <v>324.951288963487</v>
      </c>
      <c r="AH57" s="7">
        <v>310.25530036293702</v>
      </c>
      <c r="AI57" s="7">
        <v>296.68132942721502</v>
      </c>
      <c r="AJ57" s="7">
        <v>1181.4872803390199</v>
      </c>
      <c r="AK57" s="7">
        <v>1234.9422856845199</v>
      </c>
      <c r="AL57" s="7">
        <v>2929.49384697195</v>
      </c>
      <c r="AM57" s="7">
        <v>0</v>
      </c>
    </row>
    <row r="58" spans="1:39" x14ac:dyDescent="0.2">
      <c r="A58" s="12"/>
      <c r="B58" s="4" t="s">
        <v>137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</row>
    <row r="59" spans="1:39" x14ac:dyDescent="0.2">
      <c r="A59" s="12"/>
      <c r="B59" s="4" t="s">
        <v>138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</row>
    <row r="60" spans="1:39" x14ac:dyDescent="0.2">
      <c r="A60" s="12"/>
      <c r="B60" s="4" t="s">
        <v>127</v>
      </c>
      <c r="C60" s="7">
        <v>0</v>
      </c>
      <c r="D60" s="7">
        <v>0</v>
      </c>
      <c r="E60" s="7">
        <v>5716.5253550141597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1437.4146986477799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5716.5253550141597</v>
      </c>
      <c r="AJ60" s="7">
        <v>0</v>
      </c>
      <c r="AK60" s="7">
        <v>0</v>
      </c>
      <c r="AL60" s="7">
        <v>0</v>
      </c>
      <c r="AM60" s="7">
        <v>0</v>
      </c>
    </row>
    <row r="61" spans="1:39" x14ac:dyDescent="0.2">
      <c r="A61" s="12"/>
      <c r="B61" s="4" t="s">
        <v>121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3938.9188540575501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</row>
    <row r="62" spans="1:39" x14ac:dyDescent="0.2">
      <c r="A62" s="12"/>
      <c r="B62" s="4" t="s">
        <v>126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</row>
    <row r="63" spans="1:39" x14ac:dyDescent="0.2">
      <c r="A63" s="12"/>
      <c r="B63" s="4" t="s">
        <v>130</v>
      </c>
      <c r="C63" s="7">
        <v>0</v>
      </c>
      <c r="D63" s="7">
        <v>926.70728150981995</v>
      </c>
      <c r="E63" s="7">
        <v>147.193628546486</v>
      </c>
      <c r="F63" s="7">
        <v>532.82829824380201</v>
      </c>
      <c r="G63" s="7">
        <v>553.18114571811498</v>
      </c>
      <c r="H63" s="7">
        <v>531.88910862824696</v>
      </c>
      <c r="I63" s="7">
        <v>578.65415855818298</v>
      </c>
      <c r="J63" s="7">
        <v>1937.93194686012</v>
      </c>
      <c r="K63" s="7">
        <v>1964.82026839989</v>
      </c>
      <c r="L63" s="7">
        <v>1880.6118403845501</v>
      </c>
      <c r="M63" s="7">
        <v>849.89740540780394</v>
      </c>
      <c r="N63" s="7">
        <v>1624.7409411412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203.299960017129</v>
      </c>
      <c r="W63" s="7">
        <v>664.29528446715699</v>
      </c>
      <c r="X63" s="7">
        <v>948.27182250672104</v>
      </c>
      <c r="Y63" s="7">
        <v>1822.21482538283</v>
      </c>
      <c r="Z63" s="7">
        <v>672.10058106665599</v>
      </c>
      <c r="AA63" s="7">
        <v>1408.88231036353</v>
      </c>
      <c r="AB63" s="7">
        <v>583.62359849521704</v>
      </c>
      <c r="AC63" s="7">
        <v>872.45713551089204</v>
      </c>
      <c r="AD63" s="7">
        <v>541.01307809937703</v>
      </c>
      <c r="AE63" s="7">
        <v>567.59874987593298</v>
      </c>
      <c r="AF63" s="7">
        <v>2227.3297721641302</v>
      </c>
      <c r="AG63" s="7">
        <v>618.32327002182001</v>
      </c>
      <c r="AH63" s="7">
        <v>1245.4314954741201</v>
      </c>
      <c r="AI63" s="7">
        <v>797.80953857000202</v>
      </c>
      <c r="AJ63" s="7">
        <v>524.21170394614501</v>
      </c>
      <c r="AK63" s="7">
        <v>962.28090991774297</v>
      </c>
      <c r="AL63" s="7">
        <v>1015.60175767772</v>
      </c>
      <c r="AM63" s="7">
        <v>0</v>
      </c>
    </row>
    <row r="64" spans="1:39" x14ac:dyDescent="0.2">
      <c r="A64" s="12"/>
      <c r="B64" s="4" t="s">
        <v>124</v>
      </c>
      <c r="C64" s="7">
        <v>0</v>
      </c>
      <c r="D64" s="7">
        <v>0</v>
      </c>
      <c r="E64" s="7">
        <v>0</v>
      </c>
      <c r="F64" s="7">
        <v>1884.6508828555</v>
      </c>
      <c r="G64" s="7">
        <v>1874.13291418321</v>
      </c>
      <c r="H64" s="7">
        <v>1865.73225959197</v>
      </c>
      <c r="I64" s="7">
        <v>1913.3597078907701</v>
      </c>
      <c r="J64" s="7">
        <v>1940.50450648778</v>
      </c>
      <c r="K64" s="7">
        <v>1964.8193991918999</v>
      </c>
      <c r="L64" s="7">
        <v>1992.78924962202</v>
      </c>
      <c r="M64" s="7">
        <v>2018.2861330087101</v>
      </c>
      <c r="N64" s="7">
        <v>2043.03762357201</v>
      </c>
      <c r="O64" s="7">
        <v>2067.3855919007701</v>
      </c>
      <c r="P64" s="7">
        <v>2089.0906023522798</v>
      </c>
      <c r="Q64" s="7">
        <v>2114.04298220484</v>
      </c>
      <c r="R64" s="7">
        <v>2140.4907844086902</v>
      </c>
      <c r="S64" s="7">
        <v>2185.5314686329598</v>
      </c>
      <c r="T64" s="7">
        <v>2227.8061648810599</v>
      </c>
      <c r="U64" s="7">
        <v>3390.6055292063502</v>
      </c>
      <c r="V64" s="7">
        <v>1139.9795534034799</v>
      </c>
      <c r="W64" s="7">
        <v>2279.1212180594798</v>
      </c>
      <c r="X64" s="7">
        <v>2285.76982937086</v>
      </c>
      <c r="Y64" s="7">
        <v>2291.8896362147998</v>
      </c>
      <c r="Z64" s="7">
        <v>2286.0465069101001</v>
      </c>
      <c r="AA64" s="7">
        <v>2275.4112593054201</v>
      </c>
      <c r="AB64" s="7">
        <v>2263.1895441124302</v>
      </c>
      <c r="AC64" s="7">
        <v>2251.2563022450499</v>
      </c>
      <c r="AD64" s="7">
        <v>2282.9234005028102</v>
      </c>
      <c r="AE64" s="7">
        <v>3831.8833870562798</v>
      </c>
      <c r="AF64" s="7">
        <v>3911.3531656699502</v>
      </c>
      <c r="AG64" s="7">
        <v>11115.256754911499</v>
      </c>
      <c r="AH64" s="7">
        <v>867.95616887450603</v>
      </c>
      <c r="AI64" s="7">
        <v>6672.1896521672998</v>
      </c>
      <c r="AJ64" s="7">
        <v>2170.2611553050201</v>
      </c>
      <c r="AK64" s="7">
        <v>2473.62491960122</v>
      </c>
      <c r="AL64" s="7">
        <v>2183.9834687862799</v>
      </c>
      <c r="AM64" s="7">
        <v>2026.9359228523399</v>
      </c>
    </row>
    <row r="65" spans="1:39" x14ac:dyDescent="0.2">
      <c r="A65" s="12"/>
      <c r="B65" s="4" t="s">
        <v>132</v>
      </c>
      <c r="C65" s="7">
        <v>0</v>
      </c>
      <c r="D65" s="7">
        <v>1130.74590216664</v>
      </c>
      <c r="E65" s="7">
        <v>131.372166835146</v>
      </c>
      <c r="F65" s="7">
        <v>2087.0096019002799</v>
      </c>
      <c r="G65" s="7">
        <v>143.82069686254499</v>
      </c>
      <c r="H65" s="7">
        <v>1310.23304747668</v>
      </c>
      <c r="I65" s="7">
        <v>707.96091023805195</v>
      </c>
      <c r="J65" s="7">
        <v>0</v>
      </c>
      <c r="K65" s="7">
        <v>0</v>
      </c>
      <c r="L65" s="7">
        <v>0</v>
      </c>
      <c r="M65" s="7">
        <v>759.25549950015795</v>
      </c>
      <c r="N65" s="7">
        <v>242.91706329916701</v>
      </c>
      <c r="O65" s="7">
        <v>3171.8645972506101</v>
      </c>
      <c r="P65" s="7">
        <v>1227.1112971289199</v>
      </c>
      <c r="Q65" s="7">
        <v>1258.9023061713101</v>
      </c>
      <c r="R65" s="7">
        <v>1370.09515309069</v>
      </c>
      <c r="S65" s="7">
        <v>1364.82375115423</v>
      </c>
      <c r="T65" s="7">
        <v>4295.8998236978896</v>
      </c>
      <c r="U65" s="7">
        <v>0</v>
      </c>
      <c r="V65" s="7">
        <v>883.34055436757103</v>
      </c>
      <c r="W65" s="7">
        <v>0</v>
      </c>
      <c r="X65" s="7">
        <v>1802.0749930532199</v>
      </c>
      <c r="Y65" s="7">
        <v>2368.8374682301801</v>
      </c>
      <c r="Z65" s="7">
        <v>1742.8794108481</v>
      </c>
      <c r="AA65" s="7">
        <v>786.19750747130797</v>
      </c>
      <c r="AB65" s="7">
        <v>2507.5552744343599</v>
      </c>
      <c r="AC65" s="7">
        <v>1280.95996369008</v>
      </c>
      <c r="AD65" s="7">
        <v>1485.47050622901</v>
      </c>
      <c r="AE65" s="7">
        <v>1185.0883504210401</v>
      </c>
      <c r="AF65" s="7">
        <v>2583.4056078715498</v>
      </c>
      <c r="AG65" s="7">
        <v>4972.1388978527802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</row>
    <row r="66" spans="1:39" x14ac:dyDescent="0.2">
      <c r="A66" s="12"/>
      <c r="B66" s="4" t="s">
        <v>129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</row>
    <row r="67" spans="1:39" ht="15" customHeight="1" x14ac:dyDescent="0.2">
      <c r="A67" s="12"/>
      <c r="B67" s="4" t="s">
        <v>123</v>
      </c>
      <c r="C67" s="7">
        <v>2117.8583628678998</v>
      </c>
      <c r="D67" s="7">
        <v>0</v>
      </c>
      <c r="E67" s="7">
        <v>2774.0402116534801</v>
      </c>
      <c r="F67" s="7">
        <v>0</v>
      </c>
      <c r="G67" s="7">
        <v>0</v>
      </c>
      <c r="H67" s="7">
        <v>391.67381134682699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7844.8923091924098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</row>
    <row r="68" spans="1:39" x14ac:dyDescent="0.2">
      <c r="A68" s="12" t="s">
        <v>1</v>
      </c>
      <c r="B68" s="4" t="s">
        <v>133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</row>
    <row r="69" spans="1:39" x14ac:dyDescent="0.2">
      <c r="A69" s="12"/>
      <c r="B69" s="4" t="s">
        <v>134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</row>
    <row r="70" spans="1:39" x14ac:dyDescent="0.2">
      <c r="A70" s="12"/>
      <c r="B70" s="4" t="s">
        <v>135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</row>
    <row r="71" spans="1:39" x14ac:dyDescent="0.2">
      <c r="A71" s="12"/>
      <c r="B71" s="4" t="s">
        <v>136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</row>
    <row r="72" spans="1:39" x14ac:dyDescent="0.2">
      <c r="A72" s="12"/>
      <c r="B72" s="4" t="s">
        <v>122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</row>
    <row r="73" spans="1:39" x14ac:dyDescent="0.2">
      <c r="A73" s="12"/>
      <c r="B73" s="4" t="s">
        <v>128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</row>
    <row r="74" spans="1:39" x14ac:dyDescent="0.2">
      <c r="A74" s="12"/>
      <c r="B74" s="4" t="s">
        <v>120</v>
      </c>
      <c r="C74" s="7">
        <v>19.177500187377401</v>
      </c>
      <c r="D74" s="7">
        <v>17.803062031316099</v>
      </c>
      <c r="E74" s="7">
        <v>16.912008990252001</v>
      </c>
      <c r="F74" s="7">
        <v>15.2003129588802</v>
      </c>
      <c r="G74" s="7">
        <v>190.8731700486</v>
      </c>
      <c r="H74" s="7">
        <v>12.3744733265018</v>
      </c>
      <c r="I74" s="7">
        <v>10.423323092292801</v>
      </c>
      <c r="J74" s="7">
        <v>8.2431505269302505</v>
      </c>
      <c r="K74" s="7">
        <v>7.6284696234662697</v>
      </c>
      <c r="L74" s="7">
        <v>6.9643068955528502</v>
      </c>
      <c r="M74" s="7">
        <v>4.38023132703945</v>
      </c>
      <c r="N74" s="7">
        <v>4.23209472400168</v>
      </c>
      <c r="O74" s="7">
        <v>4.13543354585582</v>
      </c>
      <c r="P74" s="7">
        <v>3.5400321525097702</v>
      </c>
      <c r="Q74" s="7">
        <v>3.4591777053213901</v>
      </c>
      <c r="R74" s="7">
        <v>2.8460393493501299</v>
      </c>
      <c r="S74" s="7">
        <v>2.1344643991660699</v>
      </c>
      <c r="T74" s="7">
        <v>1.3054737457809</v>
      </c>
      <c r="U74" s="7">
        <v>2.2333927654269399</v>
      </c>
      <c r="V74" s="7">
        <v>1.0393729044569999</v>
      </c>
      <c r="W74" s="7">
        <v>1.01563359489496</v>
      </c>
      <c r="X74" s="7">
        <v>0.99243649135890599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</row>
    <row r="75" spans="1:39" x14ac:dyDescent="0.2">
      <c r="A75" s="12"/>
      <c r="B75" s="4" t="s">
        <v>131</v>
      </c>
      <c r="C75" s="7">
        <v>1E-3</v>
      </c>
      <c r="D75" s="7">
        <v>1E-3</v>
      </c>
      <c r="E75" s="7">
        <v>1E-3</v>
      </c>
      <c r="F75" s="7">
        <v>1E-3</v>
      </c>
      <c r="G75" s="7">
        <v>1E-3</v>
      </c>
      <c r="H75" s="7">
        <v>1E-3</v>
      </c>
      <c r="I75" s="7">
        <v>1E-3</v>
      </c>
      <c r="J75" s="7">
        <v>1E-3</v>
      </c>
      <c r="K75" s="7">
        <v>1E-3</v>
      </c>
      <c r="L75" s="7">
        <v>1E-3</v>
      </c>
      <c r="M75" s="7">
        <v>1E-3</v>
      </c>
      <c r="N75" s="7">
        <v>1E-3</v>
      </c>
      <c r="O75" s="7">
        <v>1E-3</v>
      </c>
      <c r="P75" s="7">
        <v>1E-3</v>
      </c>
      <c r="Q75" s="7">
        <v>1E-3</v>
      </c>
      <c r="R75" s="7">
        <v>1E-3</v>
      </c>
      <c r="S75" s="7">
        <v>1E-3</v>
      </c>
      <c r="T75" s="7">
        <v>1E-3</v>
      </c>
      <c r="U75" s="7">
        <v>1E-3</v>
      </c>
      <c r="V75" s="7">
        <v>1E-3</v>
      </c>
      <c r="W75" s="7">
        <v>1E-3</v>
      </c>
      <c r="X75" s="7">
        <v>1E-3</v>
      </c>
      <c r="Y75" s="7">
        <v>1E-3</v>
      </c>
      <c r="Z75" s="7">
        <v>1E-3</v>
      </c>
      <c r="AA75" s="7">
        <v>1E-3</v>
      </c>
      <c r="AB75" s="7">
        <v>1E-3</v>
      </c>
      <c r="AC75" s="7">
        <v>1E-3</v>
      </c>
      <c r="AD75" s="7">
        <v>1E-3</v>
      </c>
      <c r="AE75" s="7">
        <v>1E-3</v>
      </c>
      <c r="AF75" s="7">
        <v>1E-3</v>
      </c>
      <c r="AG75" s="7">
        <v>1E-3</v>
      </c>
      <c r="AH75" s="7">
        <v>1E-3</v>
      </c>
      <c r="AI75" s="7">
        <v>1E-3</v>
      </c>
      <c r="AJ75" s="7">
        <v>1E-3</v>
      </c>
      <c r="AK75" s="7">
        <v>1E-3</v>
      </c>
      <c r="AL75" s="7">
        <v>1E-3</v>
      </c>
      <c r="AM75" s="7">
        <v>1E-3</v>
      </c>
    </row>
    <row r="76" spans="1:39" x14ac:dyDescent="0.2">
      <c r="A76" s="12"/>
      <c r="B76" s="4" t="s">
        <v>119</v>
      </c>
      <c r="C76" s="7">
        <v>0.85170101042173296</v>
      </c>
      <c r="D76" s="7">
        <v>0.868527249393655</v>
      </c>
      <c r="E76" s="7">
        <v>0.88477941097730495</v>
      </c>
      <c r="F76" s="7">
        <v>4.0016657669473101</v>
      </c>
      <c r="G76" s="7">
        <v>7.4888427766961803</v>
      </c>
      <c r="H76" s="7">
        <v>11.8380465395201</v>
      </c>
      <c r="I76" s="7">
        <v>17.786633291309599</v>
      </c>
      <c r="J76" s="7">
        <v>24.4840599584568</v>
      </c>
      <c r="K76" s="7">
        <v>31.968711046167101</v>
      </c>
      <c r="L76" s="7">
        <v>40.291208900002601</v>
      </c>
      <c r="M76" s="7">
        <v>49.490109856986798</v>
      </c>
      <c r="N76" s="7">
        <v>59.600226756958897</v>
      </c>
      <c r="O76" s="7">
        <v>70.653816832621402</v>
      </c>
      <c r="P76" s="7">
        <v>82.653369823435895</v>
      </c>
      <c r="Q76" s="7">
        <v>95.647244031075005</v>
      </c>
      <c r="R76" s="7">
        <v>107.986875158001</v>
      </c>
      <c r="S76" s="7">
        <v>121.062219073181</v>
      </c>
      <c r="T76" s="7">
        <v>134.87828596353199</v>
      </c>
      <c r="U76" s="7">
        <v>149.356887965038</v>
      </c>
      <c r="V76" s="7">
        <v>164.526899833931</v>
      </c>
      <c r="W76" s="7">
        <v>180.36895582653699</v>
      </c>
      <c r="X76" s="7">
        <v>196.87766074963099</v>
      </c>
      <c r="Y76" s="7">
        <v>214.04840703659801</v>
      </c>
      <c r="Z76" s="7">
        <v>231.794118908282</v>
      </c>
      <c r="AA76" s="7">
        <v>250.159711487923</v>
      </c>
      <c r="AB76" s="7">
        <v>269.14933440021701</v>
      </c>
      <c r="AC76" s="7">
        <v>288.77593728546799</v>
      </c>
      <c r="AD76" s="7">
        <v>309.04942493239997</v>
      </c>
      <c r="AE76" s="7">
        <v>329.31101986285898</v>
      </c>
      <c r="AF76" s="7">
        <v>350.11495466797601</v>
      </c>
      <c r="AG76" s="7">
        <v>371.42660047484401</v>
      </c>
      <c r="AH76" s="7">
        <v>393.24268280124198</v>
      </c>
      <c r="AI76" s="7">
        <v>415.52395033243499</v>
      </c>
      <c r="AJ76" s="7">
        <v>439.73480144337799</v>
      </c>
      <c r="AK76" s="7">
        <v>463.04013443911401</v>
      </c>
      <c r="AL76" s="7">
        <v>487.86312057211001</v>
      </c>
      <c r="AM76" s="7">
        <v>510.21174503808999</v>
      </c>
    </row>
    <row r="77" spans="1:39" x14ac:dyDescent="0.2">
      <c r="A77" s="12"/>
      <c r="B77" s="4" t="s">
        <v>125</v>
      </c>
      <c r="C77" s="7">
        <v>204.863488178951</v>
      </c>
      <c r="D77" s="7">
        <v>202.085326049515</v>
      </c>
      <c r="E77" s="7">
        <v>197.73093742853999</v>
      </c>
      <c r="F77" s="7">
        <v>79.646600903585096</v>
      </c>
      <c r="G77" s="7">
        <v>86.088018864935293</v>
      </c>
      <c r="H77" s="7">
        <v>92.339878629027794</v>
      </c>
      <c r="I77" s="7">
        <v>99.101492378192503</v>
      </c>
      <c r="J77" s="7">
        <v>105.82210856519799</v>
      </c>
      <c r="K77" s="7">
        <v>112.440431968007</v>
      </c>
      <c r="L77" s="7">
        <v>118.99427934456401</v>
      </c>
      <c r="M77" s="7">
        <v>125.478294120501</v>
      </c>
      <c r="N77" s="7">
        <v>131.88699213672899</v>
      </c>
      <c r="O77" s="7">
        <v>138.229714215228</v>
      </c>
      <c r="P77" s="7">
        <v>144.49043801581999</v>
      </c>
      <c r="Q77" s="7">
        <v>150.69776364362801</v>
      </c>
      <c r="R77" s="7">
        <v>156.86461082834899</v>
      </c>
      <c r="S77" s="7">
        <v>162.978400070785</v>
      </c>
      <c r="T77" s="7">
        <v>169.019220416498</v>
      </c>
      <c r="U77" s="7">
        <v>174.88031840403201</v>
      </c>
      <c r="V77" s="7">
        <v>180.55315700167901</v>
      </c>
      <c r="W77" s="7">
        <v>185.99640155850901</v>
      </c>
      <c r="X77" s="7">
        <v>191.21067604871499</v>
      </c>
      <c r="Y77" s="7">
        <v>196.20809627793699</v>
      </c>
      <c r="Z77" s="7">
        <v>200.931545417439</v>
      </c>
      <c r="AA77" s="7">
        <v>205.374790527089</v>
      </c>
      <c r="AB77" s="7">
        <v>209.54764632243399</v>
      </c>
      <c r="AC77" s="7">
        <v>213.46772143122701</v>
      </c>
      <c r="AD77" s="7">
        <v>217.14239113148699</v>
      </c>
      <c r="AE77" s="7">
        <v>225.42190595067399</v>
      </c>
      <c r="AF77" s="7">
        <v>233.54536881800701</v>
      </c>
      <c r="AG77" s="7">
        <v>241.49703694176</v>
      </c>
      <c r="AH77" s="7">
        <v>249.08908924593999</v>
      </c>
      <c r="AI77" s="7">
        <v>256.34898188290703</v>
      </c>
      <c r="AJ77" s="7">
        <v>279.54006835541497</v>
      </c>
      <c r="AK77" s="7">
        <v>294.60900001053801</v>
      </c>
      <c r="AL77" s="7">
        <v>324.492354262719</v>
      </c>
      <c r="AM77" s="7">
        <v>320.16121280451898</v>
      </c>
    </row>
    <row r="78" spans="1:39" x14ac:dyDescent="0.2">
      <c r="A78" s="12"/>
      <c r="B78" s="4" t="s">
        <v>137</v>
      </c>
      <c r="C78" s="7">
        <v>20.939844196821301</v>
      </c>
      <c r="D78" s="7">
        <v>41.787528071059</v>
      </c>
      <c r="E78" s="7">
        <v>62.398220500348302</v>
      </c>
      <c r="F78" s="7">
        <v>111.843321298333</v>
      </c>
      <c r="G78" s="7">
        <v>153.441049320643</v>
      </c>
      <c r="H78" s="7">
        <v>188.058331332412</v>
      </c>
      <c r="I78" s="7">
        <v>240.34491801838499</v>
      </c>
      <c r="J78" s="7">
        <v>282.83192818009002</v>
      </c>
      <c r="K78" s="7">
        <v>316.51191612231901</v>
      </c>
      <c r="L78" s="7">
        <v>342.593498500544</v>
      </c>
      <c r="M78" s="7">
        <v>362.15459237230499</v>
      </c>
      <c r="N78" s="7">
        <v>376.10351993736401</v>
      </c>
      <c r="O78" s="7">
        <v>385.20927211514402</v>
      </c>
      <c r="P78" s="7">
        <v>390.12789375167802</v>
      </c>
      <c r="Q78" s="7">
        <v>391.41599941220198</v>
      </c>
      <c r="R78" s="7">
        <v>391.41599941220198</v>
      </c>
      <c r="S78" s="7">
        <v>391.41599941220198</v>
      </c>
      <c r="T78" s="7">
        <v>391.41599941220198</v>
      </c>
      <c r="U78" s="7">
        <v>391.41599941220198</v>
      </c>
      <c r="V78" s="7">
        <v>391.41599941220198</v>
      </c>
      <c r="W78" s="7">
        <v>391.41599941220198</v>
      </c>
      <c r="X78" s="7">
        <v>391.41599941220198</v>
      </c>
      <c r="Y78" s="7">
        <v>391.41599941220198</v>
      </c>
      <c r="Z78" s="7">
        <v>391.41599941220198</v>
      </c>
      <c r="AA78" s="7">
        <v>391.41599941220198</v>
      </c>
      <c r="AB78" s="7">
        <v>391.41599941220198</v>
      </c>
      <c r="AC78" s="7">
        <v>391.41599941220198</v>
      </c>
      <c r="AD78" s="7">
        <v>391.41599941220198</v>
      </c>
      <c r="AE78" s="7">
        <v>391.41599941220198</v>
      </c>
      <c r="AF78" s="7">
        <v>391.41599941220198</v>
      </c>
      <c r="AG78" s="7">
        <v>391.41599941220198</v>
      </c>
      <c r="AH78" s="7">
        <v>391.41599941220198</v>
      </c>
      <c r="AI78" s="7">
        <v>391.41599941220198</v>
      </c>
      <c r="AJ78" s="7">
        <v>391.41599941220198</v>
      </c>
      <c r="AK78" s="7">
        <v>391.41599941220198</v>
      </c>
      <c r="AL78" s="7">
        <v>391.41599941220198</v>
      </c>
      <c r="AM78" s="7">
        <v>391.41599941220198</v>
      </c>
    </row>
    <row r="79" spans="1:39" x14ac:dyDescent="0.2">
      <c r="A79" s="12"/>
      <c r="B79" s="4" t="s">
        <v>138</v>
      </c>
      <c r="C79" s="7">
        <v>0</v>
      </c>
      <c r="D79" s="7">
        <v>0</v>
      </c>
      <c r="E79" s="7">
        <v>0</v>
      </c>
      <c r="F79" s="7">
        <v>6.2408901752373804</v>
      </c>
      <c r="G79" s="7">
        <v>17.615588743759599</v>
      </c>
      <c r="H79" s="7">
        <v>33.341601511496101</v>
      </c>
      <c r="I79" s="7">
        <v>58.545556953197803</v>
      </c>
      <c r="J79" s="7">
        <v>88.823250172233202</v>
      </c>
      <c r="K79" s="7">
        <v>123.147981016872</v>
      </c>
      <c r="L79" s="7">
        <v>160.722875839773</v>
      </c>
      <c r="M79" s="7">
        <v>200.9032775204</v>
      </c>
      <c r="N79" s="7">
        <v>243.151992095613</v>
      </c>
      <c r="O79" s="7">
        <v>287.01867334069999</v>
      </c>
      <c r="P79" s="7">
        <v>332.12517227739102</v>
      </c>
      <c r="Q79" s="7">
        <v>378.14766044907799</v>
      </c>
      <c r="R79" s="7">
        <v>424.80980583533102</v>
      </c>
      <c r="S79" s="7">
        <v>471.84972084318002</v>
      </c>
      <c r="T79" s="7">
        <v>519.002945730222</v>
      </c>
      <c r="U79" s="7">
        <v>574.35661902691595</v>
      </c>
      <c r="V79" s="7">
        <v>649.44604013126104</v>
      </c>
      <c r="W79" s="7">
        <v>657.68011848943797</v>
      </c>
      <c r="X79" s="7">
        <v>702.17374702944505</v>
      </c>
      <c r="Y79" s="7">
        <v>820.81070906101104</v>
      </c>
      <c r="Z79" s="7">
        <v>854.13577949093599</v>
      </c>
      <c r="AA79" s="7">
        <v>854.13577949093599</v>
      </c>
      <c r="AB79" s="7">
        <v>908.580768602136</v>
      </c>
      <c r="AC79" s="7">
        <v>908.580768602136</v>
      </c>
      <c r="AD79" s="7">
        <v>978.623363610718</v>
      </c>
      <c r="AE79" s="7">
        <v>978.623363610718</v>
      </c>
      <c r="AF79" s="7">
        <v>1016.39985077228</v>
      </c>
      <c r="AG79" s="7">
        <v>1072.7399262720901</v>
      </c>
      <c r="AH79" s="7">
        <v>1107.0832139302499</v>
      </c>
      <c r="AI79" s="7">
        <v>1138.3290349701599</v>
      </c>
      <c r="AJ79" s="7">
        <v>1166.61510001397</v>
      </c>
      <c r="AK79" s="7">
        <v>1191.65588126377</v>
      </c>
      <c r="AL79" s="7">
        <v>1212.79458804003</v>
      </c>
      <c r="AM79" s="7">
        <v>1229.59809107413</v>
      </c>
    </row>
    <row r="80" spans="1:39" x14ac:dyDescent="0.2">
      <c r="A80" s="12"/>
      <c r="B80" s="4" t="s">
        <v>127</v>
      </c>
      <c r="C80" s="7">
        <v>224.088661986445</v>
      </c>
      <c r="D80" s="7">
        <v>222.79202776039699</v>
      </c>
      <c r="E80" s="7">
        <v>122.320266228051</v>
      </c>
      <c r="F80" s="7">
        <v>116.442838869612</v>
      </c>
      <c r="G80" s="7">
        <v>116.442838869612</v>
      </c>
      <c r="H80" s="7">
        <v>116.442838869612</v>
      </c>
      <c r="I80" s="7">
        <v>116.442838869612</v>
      </c>
      <c r="J80" s="7">
        <v>116.442838869612</v>
      </c>
      <c r="K80" s="7">
        <v>116.442838869612</v>
      </c>
      <c r="L80" s="7">
        <v>116.442838869612</v>
      </c>
      <c r="M80" s="7">
        <v>116.442838869612</v>
      </c>
      <c r="N80" s="7">
        <v>116.442838869612</v>
      </c>
      <c r="O80" s="7">
        <v>116.442838869612</v>
      </c>
      <c r="P80" s="7">
        <v>116.442838869612</v>
      </c>
      <c r="Q80" s="7">
        <v>116.442838869612</v>
      </c>
      <c r="R80" s="7">
        <v>116.442838869612</v>
      </c>
      <c r="S80" s="7">
        <v>116.442838869612</v>
      </c>
      <c r="T80" s="7">
        <v>116.442838869612</v>
      </c>
      <c r="U80" s="7">
        <v>116.442838869612</v>
      </c>
      <c r="V80" s="7">
        <v>116.442838869612</v>
      </c>
      <c r="W80" s="7">
        <v>116.442838869612</v>
      </c>
      <c r="X80" s="7">
        <v>116.442838869612</v>
      </c>
      <c r="Y80" s="7">
        <v>103.135082936365</v>
      </c>
      <c r="Z80" s="7">
        <v>103.135082936365</v>
      </c>
      <c r="AA80" s="7">
        <v>103.135082936365</v>
      </c>
      <c r="AB80" s="7">
        <v>103.135082936365</v>
      </c>
      <c r="AC80" s="7">
        <v>103.135082936365</v>
      </c>
      <c r="AD80" s="7">
        <v>103.135082936365</v>
      </c>
      <c r="AE80" s="7">
        <v>103.135082936365</v>
      </c>
      <c r="AF80" s="7">
        <v>103.135082936365</v>
      </c>
      <c r="AG80" s="7">
        <v>103.135082936365</v>
      </c>
      <c r="AH80" s="7">
        <v>103.135082936365</v>
      </c>
      <c r="AI80" s="7">
        <v>103.135082936365</v>
      </c>
      <c r="AJ80" s="7">
        <v>103.135082936365</v>
      </c>
      <c r="AK80" s="7">
        <v>103.135082936365</v>
      </c>
      <c r="AL80" s="7">
        <v>103.135082936365</v>
      </c>
      <c r="AM80" s="7">
        <v>103.135082936365</v>
      </c>
    </row>
    <row r="81" spans="1:39" x14ac:dyDescent="0.2">
      <c r="A81" s="12"/>
      <c r="B81" s="4" t="s">
        <v>121</v>
      </c>
      <c r="C81" s="7">
        <v>816.29370210267405</v>
      </c>
      <c r="D81" s="7">
        <v>633.54845850644404</v>
      </c>
      <c r="E81" s="7">
        <v>636.77288334489003</v>
      </c>
      <c r="F81" s="7">
        <v>628.20568906870096</v>
      </c>
      <c r="G81" s="7">
        <v>619.88444787375897</v>
      </c>
      <c r="H81" s="7">
        <v>611.58638834248404</v>
      </c>
      <c r="I81" s="7">
        <v>604.91590072816098</v>
      </c>
      <c r="J81" s="7">
        <v>598.20812592311302</v>
      </c>
      <c r="K81" s="7">
        <v>591.28836028525404</v>
      </c>
      <c r="L81" s="7">
        <v>584.21225644144704</v>
      </c>
      <c r="M81" s="7">
        <v>576.943679987726</v>
      </c>
      <c r="N81" s="7">
        <v>569.453816947718</v>
      </c>
      <c r="O81" s="7">
        <v>561.74007037259605</v>
      </c>
      <c r="P81" s="7">
        <v>553.76534971660499</v>
      </c>
      <c r="Q81" s="7">
        <v>545.55308567434201</v>
      </c>
      <c r="R81" s="7">
        <v>440.58152108211402</v>
      </c>
      <c r="S81" s="7">
        <v>431.85508958423401</v>
      </c>
      <c r="T81" s="7">
        <v>231.27714538103899</v>
      </c>
      <c r="U81" s="7">
        <v>221.84815531708401</v>
      </c>
      <c r="V81" s="7">
        <v>212.032626355692</v>
      </c>
      <c r="W81" s="7">
        <v>201.82154991792501</v>
      </c>
      <c r="X81" s="7">
        <v>147.89957104646999</v>
      </c>
      <c r="Y81" s="7">
        <v>136.976461785548</v>
      </c>
      <c r="Z81" s="7">
        <v>125.705906207978</v>
      </c>
      <c r="AA81" s="7">
        <v>114.114635152576</v>
      </c>
      <c r="AB81" s="7">
        <v>102.234436149777</v>
      </c>
      <c r="AC81" s="7">
        <v>90.095442196653707</v>
      </c>
      <c r="AD81" s="7">
        <v>77.721013197638797</v>
      </c>
      <c r="AE81" s="7">
        <v>65.162175789877793</v>
      </c>
      <c r="AF81" s="7">
        <v>52.370175245206099</v>
      </c>
      <c r="AG81" s="7">
        <v>39.389188540575503</v>
      </c>
      <c r="AH81" s="7">
        <v>39.389188540575503</v>
      </c>
      <c r="AI81" s="7">
        <v>39.389188540575503</v>
      </c>
      <c r="AJ81" s="7">
        <v>39.389188540575503</v>
      </c>
      <c r="AK81" s="7">
        <v>39.389188540575503</v>
      </c>
      <c r="AL81" s="7">
        <v>39.389188540575503</v>
      </c>
      <c r="AM81" s="7">
        <v>39.389188540575503</v>
      </c>
    </row>
    <row r="82" spans="1:39" x14ac:dyDescent="0.2">
      <c r="A82" s="12"/>
      <c r="B82" s="4" t="s">
        <v>126</v>
      </c>
      <c r="C82" s="7">
        <v>925.87697592269103</v>
      </c>
      <c r="D82" s="7">
        <v>911.04341800443103</v>
      </c>
      <c r="E82" s="7">
        <v>891.50785732439294</v>
      </c>
      <c r="F82" s="7">
        <v>865.29048855263602</v>
      </c>
      <c r="G82" s="7">
        <v>845.27909740190501</v>
      </c>
      <c r="H82" s="7">
        <v>825.688536590642</v>
      </c>
      <c r="I82" s="7">
        <v>806.664380436687</v>
      </c>
      <c r="J82" s="7">
        <v>788.04034703427203</v>
      </c>
      <c r="K82" s="7">
        <v>769.79176124197704</v>
      </c>
      <c r="L82" s="7">
        <v>751.91925848784001</v>
      </c>
      <c r="M82" s="7">
        <v>734.41238537813297</v>
      </c>
      <c r="N82" s="7">
        <v>717.261098493389</v>
      </c>
      <c r="O82" s="7">
        <v>699.63946378948197</v>
      </c>
      <c r="P82" s="7">
        <v>683.19193186122004</v>
      </c>
      <c r="Q82" s="7">
        <v>655.61183014713697</v>
      </c>
      <c r="R82" s="7">
        <v>640.08090865087502</v>
      </c>
      <c r="S82" s="7">
        <v>624.85690687656404</v>
      </c>
      <c r="T82" s="7">
        <v>609.92895260896705</v>
      </c>
      <c r="U82" s="7">
        <v>594.82308382638803</v>
      </c>
      <c r="V82" s="7">
        <v>580.45603971734397</v>
      </c>
      <c r="W82" s="7">
        <v>566.35282305113299</v>
      </c>
      <c r="X82" s="7">
        <v>552.398229501777</v>
      </c>
      <c r="Y82" s="7">
        <v>537.72956212684005</v>
      </c>
      <c r="Z82" s="7">
        <v>524.416265436613</v>
      </c>
      <c r="AA82" s="7">
        <v>511.22208829556899</v>
      </c>
      <c r="AB82" s="7">
        <v>498.32999848952801</v>
      </c>
      <c r="AC82" s="7">
        <v>485.74034627296999</v>
      </c>
      <c r="AD82" s="7">
        <v>473.38279181925299</v>
      </c>
      <c r="AE82" s="7">
        <v>471.96829717351801</v>
      </c>
      <c r="AF82" s="7">
        <v>470.529717581787</v>
      </c>
      <c r="AG82" s="7">
        <v>469.07119388464702</v>
      </c>
      <c r="AH82" s="7">
        <v>469.07119388464702</v>
      </c>
      <c r="AI82" s="7">
        <v>469.07119388464702</v>
      </c>
      <c r="AJ82" s="7">
        <v>469.07119388464702</v>
      </c>
      <c r="AK82" s="7">
        <v>469.07119388464702</v>
      </c>
      <c r="AL82" s="7">
        <v>469.07119388464702</v>
      </c>
      <c r="AM82" s="7">
        <v>469.07119388464702</v>
      </c>
    </row>
    <row r="83" spans="1:39" x14ac:dyDescent="0.2">
      <c r="A83" s="12"/>
      <c r="B83" s="4" t="s">
        <v>130</v>
      </c>
      <c r="C83" s="7">
        <v>111.45373811118399</v>
      </c>
      <c r="D83" s="7">
        <v>121.069619764165</v>
      </c>
      <c r="E83" s="7">
        <v>120.19193745192</v>
      </c>
      <c r="F83" s="7">
        <v>124.123463848908</v>
      </c>
      <c r="G83" s="7">
        <v>128.43845020621899</v>
      </c>
      <c r="H83" s="7">
        <v>132.61808760721101</v>
      </c>
      <c r="I83" s="7">
        <v>137.62387547800901</v>
      </c>
      <c r="J83" s="7">
        <v>162.52900913429499</v>
      </c>
      <c r="K83" s="7">
        <v>187.03779450800201</v>
      </c>
      <c r="L83" s="7">
        <v>209.57799470959301</v>
      </c>
      <c r="M83" s="7">
        <v>216.83161739464799</v>
      </c>
      <c r="N83" s="7">
        <v>234.75747846189</v>
      </c>
      <c r="O83" s="7">
        <v>229.395610253342</v>
      </c>
      <c r="P83" s="7">
        <v>224.15620727315499</v>
      </c>
      <c r="Q83" s="7">
        <v>219.036472413213</v>
      </c>
      <c r="R83" s="7">
        <v>214.03367245188301</v>
      </c>
      <c r="S83" s="7">
        <v>209.14513663731501</v>
      </c>
      <c r="T83" s="7">
        <v>204.36825510208499</v>
      </c>
      <c r="U83" s="7">
        <v>199.700477716341</v>
      </c>
      <c r="V83" s="7">
        <v>196.76109097939801</v>
      </c>
      <c r="W83" s="7">
        <v>200.62147052899499</v>
      </c>
      <c r="X83" s="7">
        <v>203.84321629384701</v>
      </c>
      <c r="Y83" s="7">
        <v>207.036344748586</v>
      </c>
      <c r="Z83" s="7">
        <v>209.94653387355501</v>
      </c>
      <c r="AA83" s="7">
        <v>212.57186924148601</v>
      </c>
      <c r="AB83" s="7">
        <v>214.926745351606</v>
      </c>
      <c r="AC83" s="7">
        <v>217.03279640551</v>
      </c>
      <c r="AD83" s="7">
        <v>218.98508426304701</v>
      </c>
      <c r="AE83" s="7">
        <v>226.51681804696901</v>
      </c>
      <c r="AF83" s="7">
        <v>233.81140708081099</v>
      </c>
      <c r="AG83" s="7">
        <v>242.01622829161701</v>
      </c>
      <c r="AH83" s="7">
        <v>251.872930182521</v>
      </c>
      <c r="AI83" s="7">
        <v>261.400086265109</v>
      </c>
      <c r="AJ83" s="7">
        <v>264.52133179172603</v>
      </c>
      <c r="AK83" s="7">
        <v>273.08772185740497</v>
      </c>
      <c r="AL83" s="7">
        <v>282.28555327721602</v>
      </c>
      <c r="AM83" s="7">
        <v>277.33956037382899</v>
      </c>
    </row>
    <row r="84" spans="1:39" x14ac:dyDescent="0.2">
      <c r="A84" s="12"/>
      <c r="B84" s="4" t="s">
        <v>124</v>
      </c>
      <c r="C84" s="7">
        <v>0</v>
      </c>
      <c r="D84" s="7">
        <v>0</v>
      </c>
      <c r="E84" s="7">
        <v>0</v>
      </c>
      <c r="F84" s="7">
        <v>117.336143228797</v>
      </c>
      <c r="G84" s="7">
        <v>253.49835572324201</v>
      </c>
      <c r="H84" s="7">
        <v>389.82842016259701</v>
      </c>
      <c r="I84" s="7">
        <v>505.37237889075999</v>
      </c>
      <c r="J84" s="7">
        <v>623.08303480577104</v>
      </c>
      <c r="K84" s="7">
        <v>753.71347540198599</v>
      </c>
      <c r="L84" s="7">
        <v>885.45001546321203</v>
      </c>
      <c r="M84" s="7">
        <v>1032.0938664028199</v>
      </c>
      <c r="N84" s="7">
        <v>1186.00115259824</v>
      </c>
      <c r="O84" s="7">
        <v>1359.13812669655</v>
      </c>
      <c r="P84" s="7">
        <v>1525.1272366291701</v>
      </c>
      <c r="Q84" s="7">
        <v>1706.6719674641099</v>
      </c>
      <c r="R84" s="7">
        <v>1899.3368193886699</v>
      </c>
      <c r="S84" s="7">
        <v>2071.1367696196899</v>
      </c>
      <c r="T84" s="7">
        <v>2266.8844704029102</v>
      </c>
      <c r="U84" s="7">
        <v>2481.49452695946</v>
      </c>
      <c r="V84" s="7">
        <v>2675.7163578150798</v>
      </c>
      <c r="W84" s="7">
        <v>2887.9191311140498</v>
      </c>
      <c r="X84" s="7">
        <v>3104.9295678385502</v>
      </c>
      <c r="Y84" s="7">
        <v>3326.79077256046</v>
      </c>
      <c r="Z84" s="7">
        <v>3552.3492034687702</v>
      </c>
      <c r="AA84" s="7">
        <v>3781.2122297772298</v>
      </c>
      <c r="AB84" s="7">
        <v>4013.2630677130501</v>
      </c>
      <c r="AC84" s="7">
        <v>4248.5544529930803</v>
      </c>
      <c r="AD84" s="7">
        <v>4487.5247730650599</v>
      </c>
      <c r="AE84" s="7">
        <v>4735.9850468630902</v>
      </c>
      <c r="AF84" s="7">
        <v>4985.6053491193597</v>
      </c>
      <c r="AG84" s="7">
        <v>5324.1627910303596</v>
      </c>
      <c r="AH84" s="7">
        <v>5531.1193588456299</v>
      </c>
      <c r="AI84" s="7">
        <v>5805.7540389737496</v>
      </c>
      <c r="AJ84" s="7">
        <v>6019.5044847907902</v>
      </c>
      <c r="AK84" s="7">
        <v>6231.3935960995104</v>
      </c>
      <c r="AL84" s="7">
        <v>6433.1087869234398</v>
      </c>
      <c r="AM84" s="7">
        <v>6633.8381578489598</v>
      </c>
    </row>
    <row r="85" spans="1:39" x14ac:dyDescent="0.2">
      <c r="A85" s="12"/>
      <c r="B85" s="4" t="s">
        <v>132</v>
      </c>
      <c r="C85" s="7">
        <v>287.673332931765</v>
      </c>
      <c r="D85" s="7">
        <v>355.52792084412499</v>
      </c>
      <c r="E85" s="7">
        <v>351.67091804722901</v>
      </c>
      <c r="F85" s="7">
        <v>484.015370470356</v>
      </c>
      <c r="G85" s="7">
        <v>473.25075534874497</v>
      </c>
      <c r="H85" s="7">
        <v>543.99194430438297</v>
      </c>
      <c r="I85" s="7">
        <v>577.027174316333</v>
      </c>
      <c r="J85" s="7">
        <v>558.68949522144806</v>
      </c>
      <c r="K85" s="7">
        <v>540.55243014843995</v>
      </c>
      <c r="L85" s="7">
        <v>526.93138170534701</v>
      </c>
      <c r="M85" s="7">
        <v>551.99253883458596</v>
      </c>
      <c r="N85" s="7">
        <v>548.86246830484504</v>
      </c>
      <c r="O85" s="7">
        <v>604.96607892801103</v>
      </c>
      <c r="P85" s="7">
        <v>659.916964350645</v>
      </c>
      <c r="Q85" s="7">
        <v>713.94278367217896</v>
      </c>
      <c r="R85" s="7">
        <v>767.14108251862001</v>
      </c>
      <c r="S85" s="7">
        <v>820.74153246461594</v>
      </c>
      <c r="T85" s="7">
        <v>988.71924814059105</v>
      </c>
      <c r="U85" s="7">
        <v>966.13686932068299</v>
      </c>
      <c r="V85" s="7">
        <v>972.68953564809499</v>
      </c>
      <c r="W85" s="7">
        <v>950.47327580050501</v>
      </c>
      <c r="X85" s="7">
        <v>964.59675269319496</v>
      </c>
      <c r="Y85" s="7">
        <v>1047.6916859108201</v>
      </c>
      <c r="Z85" s="7">
        <v>1015.2553374706901</v>
      </c>
      <c r="AA85" s="7">
        <v>1021.40582748798</v>
      </c>
      <c r="AB85" s="7">
        <v>1054.7223213465199</v>
      </c>
      <c r="AC85" s="7">
        <v>1057.3206856040799</v>
      </c>
      <c r="AD85" s="7">
        <v>1096.06351989994</v>
      </c>
      <c r="AE85" s="7">
        <v>1146.2379672309501</v>
      </c>
      <c r="AF85" s="7">
        <v>1255.6145791609499</v>
      </c>
      <c r="AG85" s="7">
        <v>1435.59959730131</v>
      </c>
      <c r="AH85" s="7">
        <v>1425.80152445401</v>
      </c>
      <c r="AI85" s="7">
        <v>1297.5193503686501</v>
      </c>
      <c r="AJ85" s="7">
        <v>1247.75620627285</v>
      </c>
      <c r="AK85" s="7">
        <v>1196.53772480352</v>
      </c>
      <c r="AL85" s="7">
        <v>1140.6133923400801</v>
      </c>
      <c r="AM85" s="7">
        <v>1084.75226541865</v>
      </c>
    </row>
    <row r="86" spans="1:39" x14ac:dyDescent="0.2">
      <c r="A86" s="12"/>
      <c r="B86" s="4" t="s">
        <v>129</v>
      </c>
      <c r="C86" s="7">
        <v>1780.2055368925</v>
      </c>
      <c r="D86" s="7">
        <v>2549.6387934734298</v>
      </c>
      <c r="E86" s="7">
        <v>2578.0986137221498</v>
      </c>
      <c r="F86" s="7">
        <v>2502.48177619225</v>
      </c>
      <c r="G86" s="7">
        <v>2429.0358003920001</v>
      </c>
      <c r="H86" s="7">
        <v>2316.4937889929402</v>
      </c>
      <c r="I86" s="7">
        <v>2257.6179001177102</v>
      </c>
      <c r="J86" s="7">
        <v>2198.412902394</v>
      </c>
      <c r="K86" s="7">
        <v>2125.4898242802601</v>
      </c>
      <c r="L86" s="7">
        <v>2011.63164668227</v>
      </c>
      <c r="M86" s="7">
        <v>1941.9694541797901</v>
      </c>
      <c r="N86" s="7">
        <v>1875.86149183421</v>
      </c>
      <c r="O86" s="7">
        <v>1807.7774607367901</v>
      </c>
      <c r="P86" s="7">
        <v>1721.9203768167799</v>
      </c>
      <c r="Q86" s="7">
        <v>1649.43626873925</v>
      </c>
      <c r="R86" s="7">
        <v>1574.82227028948</v>
      </c>
      <c r="S86" s="7">
        <v>1497.79995335371</v>
      </c>
      <c r="T86" s="7">
        <v>1418.0885341967</v>
      </c>
      <c r="U86" s="7">
        <v>1303.0448050826201</v>
      </c>
      <c r="V86" s="7">
        <v>1216.40976042087</v>
      </c>
      <c r="W86" s="7">
        <v>1126.2834853408301</v>
      </c>
      <c r="X86" s="7">
        <v>1030.39138822481</v>
      </c>
      <c r="Y86" s="7">
        <v>926.14776593480497</v>
      </c>
      <c r="Z86" s="7">
        <v>819.57178664152605</v>
      </c>
      <c r="AA86" s="7">
        <v>703.80098800290602</v>
      </c>
      <c r="AB86" s="7">
        <v>598.94249537897997</v>
      </c>
      <c r="AC86" s="7">
        <v>479.85490507067198</v>
      </c>
      <c r="AD86" s="7">
        <v>370.63417807672602</v>
      </c>
      <c r="AE86" s="7">
        <v>259.78580260957301</v>
      </c>
      <c r="AF86" s="7">
        <v>139.046739220825</v>
      </c>
      <c r="AG86" s="7">
        <v>24.4723370329441</v>
      </c>
      <c r="AH86" s="7">
        <v>24.4723370329441</v>
      </c>
      <c r="AI86" s="7">
        <v>17.129167288767398</v>
      </c>
      <c r="AJ86" s="7">
        <v>17.129167288767398</v>
      </c>
      <c r="AK86" s="7">
        <v>17.129167288767398</v>
      </c>
      <c r="AL86" s="7">
        <v>17.129167288767398</v>
      </c>
      <c r="AM86" s="7">
        <v>17.129167288767398</v>
      </c>
    </row>
    <row r="87" spans="1:39" x14ac:dyDescent="0.2">
      <c r="A87" s="12"/>
      <c r="B87" s="4" t="s">
        <v>123</v>
      </c>
      <c r="C87" s="7">
        <v>3131.8938480793099</v>
      </c>
      <c r="D87" s="7">
        <v>2990.40933701213</v>
      </c>
      <c r="E87" s="7">
        <v>3438.1030522236601</v>
      </c>
      <c r="F87" s="7">
        <v>3587.7750965494201</v>
      </c>
      <c r="G87" s="7">
        <v>3823.95262121203</v>
      </c>
      <c r="H87" s="7">
        <v>3787.7428754213602</v>
      </c>
      <c r="I87" s="7">
        <v>3487.53188288201</v>
      </c>
      <c r="J87" s="7">
        <v>3274.3365217228902</v>
      </c>
      <c r="K87" s="7">
        <v>3159.2727199517399</v>
      </c>
      <c r="L87" s="7">
        <v>3030.9356312342402</v>
      </c>
      <c r="M87" s="7">
        <v>2942.3036844644198</v>
      </c>
      <c r="N87" s="7">
        <v>2870.4913358990498</v>
      </c>
      <c r="O87" s="7">
        <v>2820.5461856793399</v>
      </c>
      <c r="P87" s="7">
        <v>2731.8334254008</v>
      </c>
      <c r="Q87" s="7">
        <v>2656.7203524671299</v>
      </c>
      <c r="R87" s="7">
        <v>2579.1338526443401</v>
      </c>
      <c r="S87" s="7">
        <v>2442.2664326962799</v>
      </c>
      <c r="T87" s="7">
        <v>2274.2373696694899</v>
      </c>
      <c r="U87" s="7">
        <v>2156.98431502213</v>
      </c>
      <c r="V87" s="7">
        <v>2027.3089304534701</v>
      </c>
      <c r="W87" s="7">
        <v>1894.7497614937199</v>
      </c>
      <c r="X87" s="7">
        <v>1754.18997507878</v>
      </c>
      <c r="Y87" s="7">
        <v>1577.4093204112801</v>
      </c>
      <c r="Z87" s="7">
        <v>1421.2065821214101</v>
      </c>
      <c r="AA87" s="7">
        <v>1257.3470758313599</v>
      </c>
      <c r="AB87" s="7">
        <v>1065.0146853444701</v>
      </c>
      <c r="AC87" s="7">
        <v>886.91962720328502</v>
      </c>
      <c r="AD87" s="7">
        <v>674.40645234772398</v>
      </c>
      <c r="AE87" s="7">
        <v>483.66199007929998</v>
      </c>
      <c r="AF87" s="7">
        <v>286.11129464973601</v>
      </c>
      <c r="AG87" s="7">
        <v>78.448923091924101</v>
      </c>
      <c r="AH87" s="7">
        <v>78.448923091924101</v>
      </c>
      <c r="AI87" s="7">
        <v>78.448923091924101</v>
      </c>
      <c r="AJ87" s="7">
        <v>78.448923091924101</v>
      </c>
      <c r="AK87" s="7">
        <v>78.448923091924101</v>
      </c>
      <c r="AL87" s="7">
        <v>78.448923091924101</v>
      </c>
      <c r="AM87" s="7">
        <v>78.448923091924101</v>
      </c>
    </row>
    <row r="89" spans="1:39" x14ac:dyDescent="0.2">
      <c r="C89" s="10" t="s">
        <v>118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</row>
    <row r="90" spans="1:39" x14ac:dyDescent="0.2">
      <c r="C90" s="10" t="s">
        <v>117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</row>
    <row r="91" spans="1:39" x14ac:dyDescent="0.2">
      <c r="C91" s="11" t="s">
        <v>2</v>
      </c>
      <c r="D91" s="11" t="s">
        <v>3</v>
      </c>
      <c r="E91" s="11" t="s">
        <v>4</v>
      </c>
      <c r="F91" s="11" t="s">
        <v>5</v>
      </c>
      <c r="G91" s="11" t="s">
        <v>6</v>
      </c>
      <c r="H91" s="11" t="s">
        <v>7</v>
      </c>
      <c r="I91" s="11" t="s">
        <v>8</v>
      </c>
      <c r="J91" s="11" t="s">
        <v>9</v>
      </c>
      <c r="K91" s="11" t="s">
        <v>10</v>
      </c>
      <c r="L91" s="11" t="s">
        <v>11</v>
      </c>
      <c r="M91" s="11" t="s">
        <v>12</v>
      </c>
      <c r="N91" s="11" t="s">
        <v>13</v>
      </c>
      <c r="O91" s="11" t="s">
        <v>14</v>
      </c>
      <c r="P91" s="11" t="s">
        <v>15</v>
      </c>
      <c r="Q91" s="11" t="s">
        <v>16</v>
      </c>
      <c r="R91" s="11" t="s">
        <v>17</v>
      </c>
      <c r="S91" s="11" t="s">
        <v>18</v>
      </c>
      <c r="T91" s="11" t="s">
        <v>19</v>
      </c>
      <c r="U91" s="11" t="s">
        <v>20</v>
      </c>
      <c r="V91" s="11" t="s">
        <v>21</v>
      </c>
      <c r="W91" s="11" t="s">
        <v>22</v>
      </c>
      <c r="X91" s="11" t="s">
        <v>23</v>
      </c>
      <c r="Y91" s="11" t="s">
        <v>24</v>
      </c>
      <c r="Z91" s="11" t="s">
        <v>25</v>
      </c>
      <c r="AA91" s="11" t="s">
        <v>26</v>
      </c>
      <c r="AB91" s="11" t="s">
        <v>27</v>
      </c>
      <c r="AC91" s="11" t="s">
        <v>28</v>
      </c>
      <c r="AD91" s="11" t="s">
        <v>29</v>
      </c>
      <c r="AE91" s="11" t="s">
        <v>30</v>
      </c>
      <c r="AF91" s="11" t="s">
        <v>31</v>
      </c>
      <c r="AG91" s="11" t="s">
        <v>32</v>
      </c>
      <c r="AH91" s="11" t="s">
        <v>33</v>
      </c>
      <c r="AI91" s="11" t="s">
        <v>34</v>
      </c>
      <c r="AJ91" s="11" t="s">
        <v>35</v>
      </c>
      <c r="AK91" s="11" t="s">
        <v>36</v>
      </c>
      <c r="AL91" s="11" t="s">
        <v>37</v>
      </c>
      <c r="AM91" s="11" t="s">
        <v>38</v>
      </c>
    </row>
    <row r="92" spans="1:39" x14ac:dyDescent="0.2">
      <c r="A92" s="12" t="s">
        <v>0</v>
      </c>
      <c r="B92" s="4" t="s">
        <v>133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</row>
    <row r="93" spans="1:39" x14ac:dyDescent="0.2">
      <c r="A93" s="12"/>
      <c r="B93" s="4" t="s">
        <v>134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</row>
    <row r="94" spans="1:39" x14ac:dyDescent="0.2">
      <c r="A94" s="12"/>
      <c r="B94" s="4" t="s">
        <v>135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</row>
    <row r="95" spans="1:39" x14ac:dyDescent="0.2">
      <c r="A95" s="12"/>
      <c r="B95" s="4" t="s">
        <v>136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</row>
    <row r="96" spans="1:39" x14ac:dyDescent="0.2">
      <c r="A96" s="12"/>
      <c r="B96" s="4" t="s">
        <v>122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</row>
    <row r="97" spans="1:39" x14ac:dyDescent="0.2">
      <c r="A97" s="12"/>
      <c r="B97" s="4" t="s">
        <v>128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</row>
    <row r="98" spans="1:39" x14ac:dyDescent="0.2">
      <c r="A98" s="12"/>
      <c r="B98" s="4" t="s">
        <v>120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</row>
    <row r="99" spans="1:39" x14ac:dyDescent="0.2">
      <c r="A99" s="12"/>
      <c r="B99" s="4" t="s">
        <v>131</v>
      </c>
      <c r="C99" s="7">
        <v>51.902558237164698</v>
      </c>
      <c r="D99" s="7">
        <v>40.998840845540997</v>
      </c>
      <c r="E99" s="7">
        <v>28.476362316652899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243.11777343549599</v>
      </c>
      <c r="X99" s="7">
        <v>565.91155147876805</v>
      </c>
      <c r="Y99" s="7">
        <v>290.217571888549</v>
      </c>
      <c r="Z99" s="7">
        <v>109.165850002798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</row>
    <row r="100" spans="1:39" x14ac:dyDescent="0.2">
      <c r="A100" s="12"/>
      <c r="B100" s="4" t="s">
        <v>119</v>
      </c>
      <c r="C100" s="7">
        <v>9.0939510815845004E-2</v>
      </c>
      <c r="D100" s="7">
        <v>8.4500275738988204E-2</v>
      </c>
      <c r="E100" s="7">
        <v>0.15827755924377401</v>
      </c>
      <c r="F100" s="7">
        <v>15.5761399242782</v>
      </c>
      <c r="G100" s="7">
        <v>17.512375722593301</v>
      </c>
      <c r="H100" s="7">
        <v>21.841417907883301</v>
      </c>
      <c r="I100" s="7">
        <v>29.873415064548301</v>
      </c>
      <c r="J100" s="7">
        <v>33.634040325944</v>
      </c>
      <c r="K100" s="7">
        <v>37.587430071390997</v>
      </c>
      <c r="L100" s="7">
        <v>41.795041937759002</v>
      </c>
      <c r="M100" s="7">
        <v>46.196281216373599</v>
      </c>
      <c r="N100" s="7">
        <v>50.772348308295498</v>
      </c>
      <c r="O100" s="7">
        <v>55.510409121006802</v>
      </c>
      <c r="P100" s="7">
        <v>60.260973243066204</v>
      </c>
      <c r="Q100" s="7">
        <v>66.070045006364495</v>
      </c>
      <c r="R100" s="7">
        <v>62.805433158453198</v>
      </c>
      <c r="S100" s="7">
        <v>66.508977788876095</v>
      </c>
      <c r="T100" s="7">
        <v>193.726943999513</v>
      </c>
      <c r="U100" s="7">
        <v>0</v>
      </c>
      <c r="V100" s="7">
        <v>81.321271816364003</v>
      </c>
      <c r="W100" s="7">
        <v>123.217426956081</v>
      </c>
      <c r="X100" s="7">
        <v>212.50163883146601</v>
      </c>
      <c r="Y100" s="7">
        <v>106.287962516105</v>
      </c>
      <c r="Z100" s="7">
        <v>157.45471792782101</v>
      </c>
      <c r="AA100" s="7">
        <v>227.681919441139</v>
      </c>
      <c r="AB100" s="7">
        <v>148.99428313984799</v>
      </c>
      <c r="AC100" s="7">
        <v>161.29144285560801</v>
      </c>
      <c r="AD100" s="7">
        <v>169.38355228088599</v>
      </c>
      <c r="AE100" s="7">
        <v>173.25730943004899</v>
      </c>
      <c r="AF100" s="7">
        <v>181.09638197949101</v>
      </c>
      <c r="AG100" s="7">
        <v>188.89721001668599</v>
      </c>
      <c r="AH100" s="7">
        <v>196.85094021872899</v>
      </c>
      <c r="AI100" s="7">
        <v>204.70384074818099</v>
      </c>
      <c r="AJ100" s="7">
        <v>212.549811841696</v>
      </c>
      <c r="AK100" s="7">
        <v>221.59982307403499</v>
      </c>
      <c r="AL100" s="7">
        <v>221.593866637921</v>
      </c>
      <c r="AM100" s="7">
        <v>228.75468254579599</v>
      </c>
    </row>
    <row r="101" spans="1:39" x14ac:dyDescent="0.2">
      <c r="A101" s="12"/>
      <c r="B101" s="4" t="s">
        <v>125</v>
      </c>
      <c r="C101" s="7">
        <v>0</v>
      </c>
      <c r="D101" s="7">
        <v>0</v>
      </c>
      <c r="E101" s="7">
        <v>0</v>
      </c>
      <c r="F101" s="7">
        <v>0</v>
      </c>
      <c r="G101" s="7">
        <v>254.11887782696201</v>
      </c>
      <c r="H101" s="7">
        <v>1514.7406754050901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</row>
    <row r="102" spans="1:39" x14ac:dyDescent="0.2">
      <c r="A102" s="12"/>
      <c r="B102" s="4" t="s">
        <v>137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</row>
    <row r="103" spans="1:39" x14ac:dyDescent="0.2">
      <c r="A103" s="12"/>
      <c r="B103" s="4" t="s">
        <v>138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</row>
    <row r="104" spans="1:39" x14ac:dyDescent="0.2">
      <c r="A104" s="12"/>
      <c r="B104" s="4" t="s">
        <v>127</v>
      </c>
      <c r="C104" s="7">
        <v>0</v>
      </c>
      <c r="D104" s="7">
        <v>0</v>
      </c>
      <c r="E104" s="7">
        <v>5716.5253550094203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320.13364982801801</v>
      </c>
      <c r="Y104" s="7">
        <v>2768.1902919772601</v>
      </c>
      <c r="Z104" s="7">
        <v>187.834922805883</v>
      </c>
      <c r="AA104" s="7">
        <v>545.90251859534101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5716.5253550094203</v>
      </c>
      <c r="AJ104" s="7">
        <v>0</v>
      </c>
      <c r="AK104" s="7">
        <v>0</v>
      </c>
      <c r="AL104" s="7">
        <v>0</v>
      </c>
      <c r="AM104" s="7">
        <v>0</v>
      </c>
    </row>
    <row r="105" spans="1:39" x14ac:dyDescent="0.2">
      <c r="A105" s="12"/>
      <c r="B105" s="4" t="s">
        <v>121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4194.6528227938097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</row>
    <row r="106" spans="1:39" x14ac:dyDescent="0.2">
      <c r="A106" s="12"/>
      <c r="B106" s="4" t="s">
        <v>126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</row>
    <row r="107" spans="1:39" x14ac:dyDescent="0.2">
      <c r="A107" s="12"/>
      <c r="B107" s="4" t="s">
        <v>130</v>
      </c>
      <c r="C107" s="7">
        <v>0</v>
      </c>
      <c r="D107" s="7">
        <v>926.70728150983302</v>
      </c>
      <c r="E107" s="7">
        <v>147.19362854648301</v>
      </c>
      <c r="F107" s="7">
        <v>1721.6516757381</v>
      </c>
      <c r="G107" s="7">
        <v>1699.69270180696</v>
      </c>
      <c r="H107" s="7">
        <v>1635.3179436314299</v>
      </c>
      <c r="I107" s="7">
        <v>1673.0511341884301</v>
      </c>
      <c r="J107" s="7">
        <v>3348.05343559009</v>
      </c>
      <c r="K107" s="7">
        <v>3438.6001852028699</v>
      </c>
      <c r="L107" s="7">
        <v>8.4809862579742195</v>
      </c>
      <c r="M107" s="7">
        <v>0</v>
      </c>
      <c r="N107" s="7">
        <v>1778.07836023748</v>
      </c>
      <c r="O107" s="7">
        <v>1744.9673424595401</v>
      </c>
      <c r="P107" s="7">
        <v>1805.7017348079601</v>
      </c>
      <c r="Q107" s="7">
        <v>1838.9246917686901</v>
      </c>
      <c r="R107" s="7">
        <v>1874.17960352825</v>
      </c>
      <c r="S107" s="7">
        <v>2293.4008780725399</v>
      </c>
      <c r="T107" s="7">
        <v>1952.6469668172099</v>
      </c>
      <c r="U107" s="7">
        <v>2292.5871683811301</v>
      </c>
      <c r="V107" s="7">
        <v>2375.7837455694398</v>
      </c>
      <c r="W107" s="7">
        <v>2444.45829174653</v>
      </c>
      <c r="X107" s="7">
        <v>3941.7893081358502</v>
      </c>
      <c r="Y107" s="7">
        <v>4450.5661707444897</v>
      </c>
      <c r="Z107" s="7">
        <v>3466.11017761426</v>
      </c>
      <c r="AA107" s="7">
        <v>4556.8010929617603</v>
      </c>
      <c r="AB107" s="7">
        <v>4539.6424777147804</v>
      </c>
      <c r="AC107" s="7">
        <v>4702.0059204667896</v>
      </c>
      <c r="AD107" s="7">
        <v>4112.8239753277903</v>
      </c>
      <c r="AE107" s="7">
        <v>4003.66199132364</v>
      </c>
      <c r="AF107" s="7">
        <v>6006.4374660370304</v>
      </c>
      <c r="AG107" s="7">
        <v>4678.5440229900496</v>
      </c>
      <c r="AH107" s="7">
        <v>5446.0092652684898</v>
      </c>
      <c r="AI107" s="7">
        <v>4908.3682135932404</v>
      </c>
      <c r="AJ107" s="7">
        <v>5666.0479144643496</v>
      </c>
      <c r="AK107" s="7">
        <v>5561.4160982609701</v>
      </c>
      <c r="AL107" s="7">
        <v>5416.3032950593697</v>
      </c>
      <c r="AM107" s="7">
        <v>5395.3905604359197</v>
      </c>
    </row>
    <row r="108" spans="1:39" x14ac:dyDescent="0.2">
      <c r="A108" s="12"/>
      <c r="B108" s="4" t="s">
        <v>124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</row>
    <row r="109" spans="1:39" x14ac:dyDescent="0.2">
      <c r="A109" s="12"/>
      <c r="B109" s="4" t="s">
        <v>132</v>
      </c>
      <c r="C109" s="7">
        <v>0</v>
      </c>
      <c r="D109" s="7">
        <v>1130.74590216664</v>
      </c>
      <c r="E109" s="7">
        <v>131.37216683514399</v>
      </c>
      <c r="F109" s="7">
        <v>2245.38443713165</v>
      </c>
      <c r="G109" s="7">
        <v>382.61086664187798</v>
      </c>
      <c r="H109" s="7">
        <v>1512.4043859564599</v>
      </c>
      <c r="I109" s="7">
        <v>903.27901454845403</v>
      </c>
      <c r="J109" s="7">
        <v>0</v>
      </c>
      <c r="K109" s="7">
        <v>0</v>
      </c>
      <c r="L109" s="7">
        <v>2020.20293836424</v>
      </c>
      <c r="M109" s="7">
        <v>2238.5629935193601</v>
      </c>
      <c r="N109" s="7">
        <v>1117.9655378724799</v>
      </c>
      <c r="O109" s="7">
        <v>3321.3048166773701</v>
      </c>
      <c r="P109" s="7">
        <v>1366.0041510677599</v>
      </c>
      <c r="Q109" s="7">
        <v>1499.71746936761</v>
      </c>
      <c r="R109" s="7">
        <v>2111.6789269795599</v>
      </c>
      <c r="S109" s="7">
        <v>1974.6478692491901</v>
      </c>
      <c r="T109" s="7">
        <v>7255.23923596853</v>
      </c>
      <c r="U109" s="7">
        <v>1848.21940188338</v>
      </c>
      <c r="V109" s="7">
        <v>1239.83994981256</v>
      </c>
      <c r="W109" s="7">
        <v>108.66624930612799</v>
      </c>
      <c r="X109" s="7">
        <v>2052.3871074193298</v>
      </c>
      <c r="Y109" s="7">
        <v>3883.3725992510699</v>
      </c>
      <c r="Z109" s="7">
        <v>2350.8222457383799</v>
      </c>
      <c r="AA109" s="7">
        <v>783.87502136244495</v>
      </c>
      <c r="AB109" s="7">
        <v>3337.1215797602599</v>
      </c>
      <c r="AC109" s="7">
        <v>1156.68071141682</v>
      </c>
      <c r="AD109" s="7">
        <v>2387.35130689178</v>
      </c>
      <c r="AE109" s="7">
        <v>2030.4619511441799</v>
      </c>
      <c r="AF109" s="7">
        <v>5693.4993038922803</v>
      </c>
      <c r="AG109" s="7">
        <v>10635.092483492301</v>
      </c>
      <c r="AH109" s="7">
        <v>206.28984688736699</v>
      </c>
      <c r="AI109" s="7">
        <v>2240.28746371749</v>
      </c>
      <c r="AJ109" s="7">
        <v>307.34651690701702</v>
      </c>
      <c r="AK109" s="7">
        <v>440.22215979406798</v>
      </c>
      <c r="AL109" s="7">
        <v>1270.6360008644201</v>
      </c>
      <c r="AM109" s="7">
        <v>740.57072575784798</v>
      </c>
    </row>
    <row r="110" spans="1:39" x14ac:dyDescent="0.2">
      <c r="A110" s="12"/>
      <c r="B110" s="4" t="s">
        <v>129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</row>
    <row r="111" spans="1:39" x14ac:dyDescent="0.2">
      <c r="A111" s="12"/>
      <c r="B111" s="4" t="s">
        <v>123</v>
      </c>
      <c r="C111" s="7">
        <v>2117.8583628678298</v>
      </c>
      <c r="D111" s="7">
        <v>0</v>
      </c>
      <c r="E111" s="7">
        <v>2774.0402116535001</v>
      </c>
      <c r="F111" s="7">
        <v>0</v>
      </c>
      <c r="G111" s="7">
        <v>0</v>
      </c>
      <c r="H111" s="7">
        <v>1543.76655291667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11287.198914746599</v>
      </c>
      <c r="U111" s="7">
        <v>681.99833678290202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</row>
    <row r="112" spans="1:39" x14ac:dyDescent="0.2">
      <c r="A112" s="12" t="s">
        <v>1</v>
      </c>
      <c r="B112" s="4" t="s">
        <v>133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</row>
    <row r="113" spans="1:39" x14ac:dyDescent="0.2">
      <c r="A113" s="12"/>
      <c r="B113" s="4" t="s">
        <v>134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</row>
    <row r="114" spans="1:39" x14ac:dyDescent="0.2">
      <c r="A114" s="12"/>
      <c r="B114" s="4" t="s">
        <v>135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</row>
    <row r="115" spans="1:39" x14ac:dyDescent="0.2">
      <c r="A115" s="12"/>
      <c r="B115" s="4" t="s">
        <v>136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</row>
    <row r="116" spans="1:39" x14ac:dyDescent="0.2">
      <c r="A116" s="12"/>
      <c r="B116" s="4" t="s">
        <v>122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</row>
    <row r="117" spans="1:39" x14ac:dyDescent="0.2">
      <c r="A117" s="12"/>
      <c r="B117" s="4" t="s">
        <v>128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</row>
    <row r="118" spans="1:39" x14ac:dyDescent="0.2">
      <c r="A118" s="12"/>
      <c r="B118" s="4" t="s">
        <v>120</v>
      </c>
      <c r="C118" s="7">
        <v>19.177500187377401</v>
      </c>
      <c r="D118" s="7">
        <v>17.803062031316099</v>
      </c>
      <c r="E118" s="7">
        <v>16.912008990252001</v>
      </c>
      <c r="F118" s="7">
        <v>15.2003129588802</v>
      </c>
      <c r="G118" s="7">
        <v>190.8731700486</v>
      </c>
      <c r="H118" s="7">
        <v>12.3744733265018</v>
      </c>
      <c r="I118" s="7">
        <v>10.423323092292801</v>
      </c>
      <c r="J118" s="7">
        <v>8.2431505269302505</v>
      </c>
      <c r="K118" s="7">
        <v>7.6284696234662697</v>
      </c>
      <c r="L118" s="7">
        <v>6.9643068955528502</v>
      </c>
      <c r="M118" s="7">
        <v>4.38023132703945</v>
      </c>
      <c r="N118" s="7">
        <v>4.23209472400168</v>
      </c>
      <c r="O118" s="7">
        <v>4.13543354585582</v>
      </c>
      <c r="P118" s="7">
        <v>3.5400321525097702</v>
      </c>
      <c r="Q118" s="7">
        <v>3.4591777053213901</v>
      </c>
      <c r="R118" s="7">
        <v>2.8460393493501299</v>
      </c>
      <c r="S118" s="7">
        <v>2.1344643991660699</v>
      </c>
      <c r="T118" s="7">
        <v>2.2632098267453102</v>
      </c>
      <c r="U118" s="7">
        <v>2.2333927654269399</v>
      </c>
      <c r="V118" s="7">
        <v>1.8379516814330601</v>
      </c>
      <c r="W118" s="7">
        <v>1.8142123718710099</v>
      </c>
      <c r="X118" s="7">
        <v>1.7910152683349601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</row>
    <row r="119" spans="1:39" x14ac:dyDescent="0.2">
      <c r="A119" s="12"/>
      <c r="B119" s="4" t="s">
        <v>131</v>
      </c>
      <c r="C119" s="7">
        <v>1E-3</v>
      </c>
      <c r="D119" s="7">
        <v>1E-3</v>
      </c>
      <c r="E119" s="7">
        <v>1E-3</v>
      </c>
      <c r="F119" s="7">
        <v>1E-3</v>
      </c>
      <c r="G119" s="7">
        <v>1E-3</v>
      </c>
      <c r="H119" s="7">
        <v>1E-3</v>
      </c>
      <c r="I119" s="7">
        <v>1E-3</v>
      </c>
      <c r="J119" s="7">
        <v>1E-3</v>
      </c>
      <c r="K119" s="7">
        <v>1E-3</v>
      </c>
      <c r="L119" s="7">
        <v>1E-3</v>
      </c>
      <c r="M119" s="7">
        <v>1E-3</v>
      </c>
      <c r="N119" s="7">
        <v>1E-3</v>
      </c>
      <c r="O119" s="7">
        <v>1E-3</v>
      </c>
      <c r="P119" s="7">
        <v>1E-3</v>
      </c>
      <c r="Q119" s="7">
        <v>1E-3</v>
      </c>
      <c r="R119" s="7">
        <v>1E-3</v>
      </c>
      <c r="S119" s="7">
        <v>1E-3</v>
      </c>
      <c r="T119" s="7">
        <v>1E-3</v>
      </c>
      <c r="U119" s="7">
        <v>1E-3</v>
      </c>
      <c r="V119" s="7">
        <v>1E-3</v>
      </c>
      <c r="W119" s="7">
        <v>1E-3</v>
      </c>
      <c r="X119" s="7">
        <v>1E-3</v>
      </c>
      <c r="Y119" s="7">
        <v>1E-3</v>
      </c>
      <c r="Z119" s="7">
        <v>1E-3</v>
      </c>
      <c r="AA119" s="7">
        <v>1E-3</v>
      </c>
      <c r="AB119" s="7">
        <v>1E-3</v>
      </c>
      <c r="AC119" s="7">
        <v>1E-3</v>
      </c>
      <c r="AD119" s="7">
        <v>1E-3</v>
      </c>
      <c r="AE119" s="7">
        <v>1E-3</v>
      </c>
      <c r="AF119" s="7">
        <v>1E-3</v>
      </c>
      <c r="AG119" s="7">
        <v>1E-3</v>
      </c>
      <c r="AH119" s="7">
        <v>1E-3</v>
      </c>
      <c r="AI119" s="7">
        <v>1E-3</v>
      </c>
      <c r="AJ119" s="7">
        <v>1E-3</v>
      </c>
      <c r="AK119" s="7">
        <v>1E-3</v>
      </c>
      <c r="AL119" s="7">
        <v>1E-3</v>
      </c>
      <c r="AM119" s="7">
        <v>1E-3</v>
      </c>
    </row>
    <row r="120" spans="1:39" x14ac:dyDescent="0.2">
      <c r="A120" s="12"/>
      <c r="B120" s="4" t="s">
        <v>119</v>
      </c>
      <c r="C120" s="7">
        <v>0.85170101042173296</v>
      </c>
      <c r="D120" s="7">
        <v>0.868527249393655</v>
      </c>
      <c r="E120" s="7">
        <v>0.88477941097730495</v>
      </c>
      <c r="F120" s="7">
        <v>4.0016657669473101</v>
      </c>
      <c r="G120" s="7">
        <v>7.4888427766961803</v>
      </c>
      <c r="H120" s="7">
        <v>11.8380465395201</v>
      </c>
      <c r="I120" s="7">
        <v>17.786633291309599</v>
      </c>
      <c r="J120" s="7">
        <v>24.4840599584568</v>
      </c>
      <c r="K120" s="7">
        <v>31.968711046167101</v>
      </c>
      <c r="L120" s="7">
        <v>40.291208900002601</v>
      </c>
      <c r="M120" s="7">
        <v>49.490109856986798</v>
      </c>
      <c r="N120" s="7">
        <v>59.600226756958897</v>
      </c>
      <c r="O120" s="7">
        <v>70.653816832621402</v>
      </c>
      <c r="P120" s="7">
        <v>82.653369823435895</v>
      </c>
      <c r="Q120" s="7">
        <v>95.647244031075005</v>
      </c>
      <c r="R120" s="7">
        <v>107.986875158001</v>
      </c>
      <c r="S120" s="7">
        <v>121.062219073181</v>
      </c>
      <c r="T120" s="7">
        <v>136.11371778521999</v>
      </c>
      <c r="U120" s="7">
        <v>149.85692833799899</v>
      </c>
      <c r="V120" s="7">
        <v>165.07772874765499</v>
      </c>
      <c r="W120" s="7">
        <v>181.355471885263</v>
      </c>
      <c r="X120" s="7">
        <v>199.15929178955599</v>
      </c>
      <c r="Y120" s="7">
        <v>216.529031235817</v>
      </c>
      <c r="Z120" s="7">
        <v>234.80235080023701</v>
      </c>
      <c r="AA120" s="7">
        <v>254.34733072451999</v>
      </c>
      <c r="AB120" s="7">
        <v>273.65483579989302</v>
      </c>
      <c r="AC120" s="7">
        <v>293.609983754621</v>
      </c>
      <c r="AD120" s="7">
        <v>314.22284518144102</v>
      </c>
      <c r="AE120" s="7">
        <v>334.82361481029602</v>
      </c>
      <c r="AF120" s="7">
        <v>355.97580296551803</v>
      </c>
      <c r="AG120" s="7">
        <v>377.64420109438697</v>
      </c>
      <c r="AH120" s="7">
        <v>399.82547990056099</v>
      </c>
      <c r="AI120" s="7">
        <v>422.47973101082198</v>
      </c>
      <c r="AJ120" s="7">
        <v>445.60400366328503</v>
      </c>
      <c r="AK120" s="7">
        <v>469.22039621515597</v>
      </c>
      <c r="AL120" s="7">
        <v>493.33159874073402</v>
      </c>
      <c r="AM120" s="7">
        <v>517.96777003217198</v>
      </c>
    </row>
    <row r="121" spans="1:39" x14ac:dyDescent="0.2">
      <c r="A121" s="12"/>
      <c r="B121" s="4" t="s">
        <v>125</v>
      </c>
      <c r="C121" s="7">
        <v>204.863488178951</v>
      </c>
      <c r="D121" s="7">
        <v>202.085326049515</v>
      </c>
      <c r="E121" s="7">
        <v>197.73093742853999</v>
      </c>
      <c r="F121" s="7">
        <v>73.4537040090094</v>
      </c>
      <c r="G121" s="7">
        <v>65.863658311167598</v>
      </c>
      <c r="H121" s="7">
        <v>62.477534546210499</v>
      </c>
      <c r="I121" s="7">
        <v>61.148233471055697</v>
      </c>
      <c r="J121" s="7">
        <v>59.849293667059797</v>
      </c>
      <c r="K121" s="7">
        <v>56.602645444834103</v>
      </c>
      <c r="L121" s="7">
        <v>55.404229553337998</v>
      </c>
      <c r="M121" s="7">
        <v>53.966370729776997</v>
      </c>
      <c r="N121" s="7">
        <v>53.015090496796098</v>
      </c>
      <c r="O121" s="7">
        <v>51.712434719803603</v>
      </c>
      <c r="P121" s="7">
        <v>50.619811998362799</v>
      </c>
      <c r="Q121" s="7">
        <v>49.404549469242397</v>
      </c>
      <c r="R121" s="7">
        <v>47.992279413224701</v>
      </c>
      <c r="S121" s="7">
        <v>46.972826369423402</v>
      </c>
      <c r="T121" s="7">
        <v>45.366126612743997</v>
      </c>
      <c r="U121" s="7">
        <v>44.227713615021599</v>
      </c>
      <c r="V121" s="7">
        <v>43.103110692195699</v>
      </c>
      <c r="W121" s="7">
        <v>41.991595566668103</v>
      </c>
      <c r="X121" s="7">
        <v>40.893254164892902</v>
      </c>
      <c r="Y121" s="7">
        <v>39.807498826795197</v>
      </c>
      <c r="Z121" s="7">
        <v>38.733957963605</v>
      </c>
      <c r="AA121" s="7">
        <v>37.672601498878201</v>
      </c>
      <c r="AB121" s="7">
        <v>36.623514465330999</v>
      </c>
      <c r="AC121" s="7">
        <v>35.650441249719499</v>
      </c>
      <c r="AD121" s="7">
        <v>34.859781627115403</v>
      </c>
      <c r="AE121" s="7">
        <v>34.712186276547101</v>
      </c>
      <c r="AF121" s="7">
        <v>34.712186276547101</v>
      </c>
      <c r="AG121" s="7">
        <v>34.011108286959299</v>
      </c>
      <c r="AH121" s="7">
        <v>34.231472001677901</v>
      </c>
      <c r="AI121" s="7">
        <v>34.2672987975618</v>
      </c>
      <c r="AJ121" s="7">
        <v>34.269400175249999</v>
      </c>
      <c r="AK121" s="7">
        <v>29.402611816229999</v>
      </c>
      <c r="AL121" s="7">
        <v>0</v>
      </c>
      <c r="AM121" s="7">
        <v>0</v>
      </c>
    </row>
    <row r="122" spans="1:39" x14ac:dyDescent="0.2">
      <c r="A122" s="12"/>
      <c r="B122" s="4" t="s">
        <v>137</v>
      </c>
      <c r="C122" s="7">
        <v>20.939844196821198</v>
      </c>
      <c r="D122" s="7">
        <v>41.787528071059</v>
      </c>
      <c r="E122" s="7">
        <v>62.398220500348899</v>
      </c>
      <c r="F122" s="7">
        <v>111.638015569535</v>
      </c>
      <c r="G122" s="7">
        <v>152.95531417725201</v>
      </c>
      <c r="H122" s="7">
        <v>187.231156678486</v>
      </c>
      <c r="I122" s="7">
        <v>239.12805568808801</v>
      </c>
      <c r="J122" s="7">
        <v>281.25047829616699</v>
      </c>
      <c r="K122" s="7">
        <v>314.493884952249</v>
      </c>
      <c r="L122" s="7">
        <v>340.121768696559</v>
      </c>
      <c r="M122" s="7">
        <v>359.21999161280399</v>
      </c>
      <c r="N122" s="7">
        <v>372.70406300236999</v>
      </c>
      <c r="O122" s="7">
        <v>381.34949092803299</v>
      </c>
      <c r="P122" s="7">
        <v>385.81824596572</v>
      </c>
      <c r="Q122" s="7">
        <v>386.672347354387</v>
      </c>
      <c r="R122" s="7">
        <v>386.672347354387</v>
      </c>
      <c r="S122" s="7">
        <v>386.672347354387</v>
      </c>
      <c r="T122" s="7">
        <v>386.672347354387</v>
      </c>
      <c r="U122" s="7">
        <v>386.672347354387</v>
      </c>
      <c r="V122" s="7">
        <v>386.672347354387</v>
      </c>
      <c r="W122" s="7">
        <v>386.672347354387</v>
      </c>
      <c r="X122" s="7">
        <v>386.672347354387</v>
      </c>
      <c r="Y122" s="7">
        <v>386.672347354387</v>
      </c>
      <c r="Z122" s="7">
        <v>386.672347354387</v>
      </c>
      <c r="AA122" s="7">
        <v>386.672347354387</v>
      </c>
      <c r="AB122" s="7">
        <v>386.672347354387</v>
      </c>
      <c r="AC122" s="7">
        <v>386.672347354387</v>
      </c>
      <c r="AD122" s="7">
        <v>386.672347354387</v>
      </c>
      <c r="AE122" s="7">
        <v>386.672347354387</v>
      </c>
      <c r="AF122" s="7">
        <v>386.672347354387</v>
      </c>
      <c r="AG122" s="7">
        <v>386.672347354387</v>
      </c>
      <c r="AH122" s="7">
        <v>386.672347354387</v>
      </c>
      <c r="AI122" s="7">
        <v>386.672347354387</v>
      </c>
      <c r="AJ122" s="7">
        <v>386.672347354387</v>
      </c>
      <c r="AK122" s="7">
        <v>386.672347354387</v>
      </c>
      <c r="AL122" s="7">
        <v>386.672347354387</v>
      </c>
      <c r="AM122" s="7">
        <v>386.672347354387</v>
      </c>
    </row>
    <row r="123" spans="1:39" x14ac:dyDescent="0.2">
      <c r="A123" s="12"/>
      <c r="B123" s="4" t="s">
        <v>138</v>
      </c>
      <c r="C123" s="7">
        <v>0</v>
      </c>
      <c r="D123" s="7">
        <v>0</v>
      </c>
      <c r="E123" s="7">
        <v>0</v>
      </c>
      <c r="F123" s="7">
        <v>6.2294340552750702</v>
      </c>
      <c r="G123" s="7">
        <v>17.559824588325199</v>
      </c>
      <c r="H123" s="7">
        <v>33.194948462436599</v>
      </c>
      <c r="I123" s="7">
        <v>58.249141770172997</v>
      </c>
      <c r="J123" s="7">
        <v>88.3265964897044</v>
      </c>
      <c r="K123" s="7">
        <v>122.362808479707</v>
      </c>
      <c r="L123" s="7">
        <v>159.56329889469399</v>
      </c>
      <c r="M123" s="7">
        <v>199.27532381440699</v>
      </c>
      <c r="N123" s="7">
        <v>240.954233547863</v>
      </c>
      <c r="O123" s="7">
        <v>284.14275794636399</v>
      </c>
      <c r="P123" s="7">
        <v>328.456266422954</v>
      </c>
      <c r="Q123" s="7">
        <v>373.56481015576901</v>
      </c>
      <c r="R123" s="7">
        <v>419.18622414969201</v>
      </c>
      <c r="S123" s="7">
        <v>465.05316732637698</v>
      </c>
      <c r="T123" s="7">
        <v>512.27039600644798</v>
      </c>
      <c r="U123" s="7">
        <v>558.59140882496899</v>
      </c>
      <c r="V123" s="7">
        <v>604.39944178951703</v>
      </c>
      <c r="W123" s="7">
        <v>649.410271736151</v>
      </c>
      <c r="X123" s="7">
        <v>693.55435080299605</v>
      </c>
      <c r="Y123" s="7">
        <v>736.46840625542904</v>
      </c>
      <c r="Z123" s="7">
        <v>777.91490400960299</v>
      </c>
      <c r="AA123" s="7">
        <v>817.68502536092205</v>
      </c>
      <c r="AB123" s="7">
        <v>855.63576235007497</v>
      </c>
      <c r="AC123" s="7">
        <v>891.98366951796402</v>
      </c>
      <c r="AD123" s="7">
        <v>953.91372408948803</v>
      </c>
      <c r="AE123" s="7">
        <v>1045.1345233608599</v>
      </c>
      <c r="AF123" s="7">
        <v>1045.1345233608599</v>
      </c>
      <c r="AG123" s="7">
        <v>1045.1345233608599</v>
      </c>
      <c r="AH123" s="7">
        <v>1073.53202384567</v>
      </c>
      <c r="AI123" s="7">
        <v>1102.89569108257</v>
      </c>
      <c r="AJ123" s="7">
        <v>1129.55745244434</v>
      </c>
      <c r="AK123" s="7">
        <v>1152.5497624238001</v>
      </c>
      <c r="AL123" s="7">
        <v>1171.5064896563599</v>
      </c>
      <c r="AM123" s="7">
        <v>1187.15649952851</v>
      </c>
    </row>
    <row r="124" spans="1:39" x14ac:dyDescent="0.2">
      <c r="A124" s="12"/>
      <c r="B124" s="4" t="s">
        <v>127</v>
      </c>
      <c r="C124" s="7">
        <v>224.08866198649201</v>
      </c>
      <c r="D124" s="7">
        <v>222.792027760444</v>
      </c>
      <c r="E124" s="7">
        <v>122.320266228051</v>
      </c>
      <c r="F124" s="7">
        <v>116.442838869612</v>
      </c>
      <c r="G124" s="7">
        <v>116.442838869612</v>
      </c>
      <c r="H124" s="7">
        <v>116.442838869612</v>
      </c>
      <c r="I124" s="7">
        <v>116.442838869612</v>
      </c>
      <c r="J124" s="7">
        <v>116.442838869612</v>
      </c>
      <c r="K124" s="7">
        <v>116.442838869612</v>
      </c>
      <c r="L124" s="7">
        <v>116.442838869612</v>
      </c>
      <c r="M124" s="7">
        <v>116.442838869612</v>
      </c>
      <c r="N124" s="7">
        <v>116.442838869612</v>
      </c>
      <c r="O124" s="7">
        <v>116.442838869612</v>
      </c>
      <c r="P124" s="7">
        <v>116.442838869612</v>
      </c>
      <c r="Q124" s="7">
        <v>116.442838869612</v>
      </c>
      <c r="R124" s="7">
        <v>116.442838869612</v>
      </c>
      <c r="S124" s="7">
        <v>116.442838869612</v>
      </c>
      <c r="T124" s="7">
        <v>116.442838869612</v>
      </c>
      <c r="U124" s="7">
        <v>116.442838869612</v>
      </c>
      <c r="V124" s="7">
        <v>116.442838869612</v>
      </c>
      <c r="W124" s="7">
        <v>116.442838869612</v>
      </c>
      <c r="X124" s="7">
        <v>119.644175367893</v>
      </c>
      <c r="Y124" s="7">
        <v>119.644175367893</v>
      </c>
      <c r="Z124" s="7">
        <v>121.522524595951</v>
      </c>
      <c r="AA124" s="7">
        <v>126.981549781905</v>
      </c>
      <c r="AB124" s="7">
        <v>126.981549781905</v>
      </c>
      <c r="AC124" s="7">
        <v>126.981549781905</v>
      </c>
      <c r="AD124" s="7">
        <v>126.981549781905</v>
      </c>
      <c r="AE124" s="7">
        <v>126.981549781905</v>
      </c>
      <c r="AF124" s="7">
        <v>126.981549781905</v>
      </c>
      <c r="AG124" s="7">
        <v>126.981549781905</v>
      </c>
      <c r="AH124" s="7">
        <v>126.981549781905</v>
      </c>
      <c r="AI124" s="7">
        <v>126.981549781905</v>
      </c>
      <c r="AJ124" s="7">
        <v>126.981549781905</v>
      </c>
      <c r="AK124" s="7">
        <v>126.981549781905</v>
      </c>
      <c r="AL124" s="7">
        <v>126.981549781905</v>
      </c>
      <c r="AM124" s="7">
        <v>126.981549781905</v>
      </c>
    </row>
    <row r="125" spans="1:39" x14ac:dyDescent="0.2">
      <c r="A125" s="12"/>
      <c r="B125" s="4" t="s">
        <v>121</v>
      </c>
      <c r="C125" s="7">
        <v>816.29370210267405</v>
      </c>
      <c r="D125" s="7">
        <v>633.54845850644404</v>
      </c>
      <c r="E125" s="7">
        <v>636.77288334489003</v>
      </c>
      <c r="F125" s="7">
        <v>628.85374853598</v>
      </c>
      <c r="G125" s="7">
        <v>621.16242609931498</v>
      </c>
      <c r="H125" s="7">
        <v>613.46192483186599</v>
      </c>
      <c r="I125" s="7">
        <v>607.47347283797205</v>
      </c>
      <c r="J125" s="7">
        <v>601.42735740782496</v>
      </c>
      <c r="K125" s="7">
        <v>595.12397168905397</v>
      </c>
      <c r="L125" s="7">
        <v>588.631823271342</v>
      </c>
      <c r="M125" s="7">
        <v>581.904640692307</v>
      </c>
      <c r="N125" s="7">
        <v>574.91243382836399</v>
      </c>
      <c r="O125" s="7">
        <v>567.65020417529695</v>
      </c>
      <c r="P125" s="7">
        <v>560.07425207384495</v>
      </c>
      <c r="Q125" s="7">
        <v>552.20787932961298</v>
      </c>
      <c r="R125" s="7">
        <v>447.52535638924797</v>
      </c>
      <c r="S125" s="7">
        <v>439.02474851941201</v>
      </c>
      <c r="T125" s="7">
        <v>238.60173043460901</v>
      </c>
      <c r="U125" s="7">
        <v>229.240273621874</v>
      </c>
      <c r="V125" s="7">
        <v>219.40093218637301</v>
      </c>
      <c r="W125" s="7">
        <v>209.071536288603</v>
      </c>
      <c r="X125" s="7">
        <v>157.50193801047601</v>
      </c>
      <c r="Y125" s="7">
        <v>146.252659145519</v>
      </c>
      <c r="Z125" s="7">
        <v>134.546321060525</v>
      </c>
      <c r="AA125" s="7">
        <v>122.407485598364</v>
      </c>
      <c r="AB125" s="7">
        <v>109.866644419324</v>
      </c>
      <c r="AC125" s="7">
        <v>96.952530320758598</v>
      </c>
      <c r="AD125" s="7">
        <v>83.686069653504305</v>
      </c>
      <c r="AE125" s="7">
        <v>70.119123148078998</v>
      </c>
      <c r="AF125" s="7">
        <v>56.190968353145102</v>
      </c>
      <c r="AG125" s="7">
        <v>41.946528227938103</v>
      </c>
      <c r="AH125" s="7">
        <v>41.946528227938103</v>
      </c>
      <c r="AI125" s="7">
        <v>41.946528227938103</v>
      </c>
      <c r="AJ125" s="7">
        <v>41.946528227938103</v>
      </c>
      <c r="AK125" s="7">
        <v>41.946528227938103</v>
      </c>
      <c r="AL125" s="7">
        <v>41.946528227938103</v>
      </c>
      <c r="AM125" s="7">
        <v>41.946528227938103</v>
      </c>
    </row>
    <row r="126" spans="1:39" x14ac:dyDescent="0.2">
      <c r="A126" s="12"/>
      <c r="B126" s="4" t="s">
        <v>126</v>
      </c>
      <c r="C126" s="7">
        <v>925.87697592269103</v>
      </c>
      <c r="D126" s="7">
        <v>911.04341800443103</v>
      </c>
      <c r="E126" s="7">
        <v>891.50785732439294</v>
      </c>
      <c r="F126" s="7">
        <v>866.22892145798005</v>
      </c>
      <c r="G126" s="7">
        <v>847.15082945560505</v>
      </c>
      <c r="H126" s="7">
        <v>828.508481715568</v>
      </c>
      <c r="I126" s="7">
        <v>810.29192580856204</v>
      </c>
      <c r="J126" s="7">
        <v>792.49143660464904</v>
      </c>
      <c r="K126" s="7">
        <v>775.09751122216801</v>
      </c>
      <c r="L126" s="7">
        <v>758.10086347152799</v>
      </c>
      <c r="M126" s="7">
        <v>741.49241981432795</v>
      </c>
      <c r="N126" s="7">
        <v>725.26331330203902</v>
      </c>
      <c r="O126" s="7">
        <v>708.58625257836695</v>
      </c>
      <c r="P126" s="7">
        <v>693.10872415845904</v>
      </c>
      <c r="Q126" s="7">
        <v>666.52035801325701</v>
      </c>
      <c r="R126" s="7">
        <v>652.00361605144496</v>
      </c>
      <c r="S126" s="7">
        <v>637.81843673672597</v>
      </c>
      <c r="T126" s="7">
        <v>623.95724739290699</v>
      </c>
      <c r="U126" s="7">
        <v>609.95654787508397</v>
      </c>
      <c r="V126" s="7">
        <v>596.73172488866396</v>
      </c>
      <c r="W126" s="7">
        <v>583.80895751197897</v>
      </c>
      <c r="X126" s="7">
        <v>571.07052414630903</v>
      </c>
      <c r="Y126" s="7">
        <v>557.65095039152095</v>
      </c>
      <c r="Z126" s="7">
        <v>545.62078916609903</v>
      </c>
      <c r="AA126" s="7">
        <v>533.74131610862798</v>
      </c>
      <c r="AB126" s="7">
        <v>522.19258659072204</v>
      </c>
      <c r="AC126" s="7">
        <v>510.97229534667599</v>
      </c>
      <c r="AD126" s="7">
        <v>500.00827602659302</v>
      </c>
      <c r="AE126" s="7">
        <v>500.00827602659302</v>
      </c>
      <c r="AF126" s="7">
        <v>500.00827602659302</v>
      </c>
      <c r="AG126" s="7">
        <v>500.00827602659302</v>
      </c>
      <c r="AH126" s="7">
        <v>500.00827602659302</v>
      </c>
      <c r="AI126" s="7">
        <v>500.00827602659302</v>
      </c>
      <c r="AJ126" s="7">
        <v>500.00827602659302</v>
      </c>
      <c r="AK126" s="7">
        <v>500.00827602659302</v>
      </c>
      <c r="AL126" s="7">
        <v>500.00827602659302</v>
      </c>
      <c r="AM126" s="7">
        <v>500.00827602659302</v>
      </c>
    </row>
    <row r="127" spans="1:39" x14ac:dyDescent="0.2">
      <c r="A127" s="12"/>
      <c r="B127" s="4" t="s">
        <v>130</v>
      </c>
      <c r="C127" s="7">
        <v>111.45373811118399</v>
      </c>
      <c r="D127" s="7">
        <v>121.069619764165</v>
      </c>
      <c r="E127" s="7">
        <v>120.19193745192</v>
      </c>
      <c r="F127" s="7">
        <v>139.02025847281101</v>
      </c>
      <c r="G127" s="7">
        <v>157.81387873868499</v>
      </c>
      <c r="H127" s="7">
        <v>176.07919605653399</v>
      </c>
      <c r="I127" s="7">
        <v>195.28836605931301</v>
      </c>
      <c r="J127" s="7">
        <v>239.28569552519301</v>
      </c>
      <c r="K127" s="7">
        <v>283.20943639084902</v>
      </c>
      <c r="L127" s="7">
        <v>276.86183853663402</v>
      </c>
      <c r="M127" s="7">
        <v>270.53830542153099</v>
      </c>
      <c r="N127" s="7">
        <v>289.39667889615203</v>
      </c>
      <c r="O127" s="7">
        <v>307.19637718640899</v>
      </c>
      <c r="P127" s="7">
        <v>325.279830127487</v>
      </c>
      <c r="Q127" s="7">
        <v>343.25814812005098</v>
      </c>
      <c r="R127" s="7">
        <v>361.16464739477101</v>
      </c>
      <c r="S127" s="7">
        <v>384.27834438811499</v>
      </c>
      <c r="T127" s="7">
        <v>402.092491268027</v>
      </c>
      <c r="U127" s="7">
        <v>423.99244418695901</v>
      </c>
      <c r="V127" s="7">
        <v>445.26715947344002</v>
      </c>
      <c r="W127" s="7">
        <v>467.40298638906398</v>
      </c>
      <c r="X127" s="7">
        <v>504.67638632212697</v>
      </c>
      <c r="Y127" s="7">
        <v>536.14529944195397</v>
      </c>
      <c r="Z127" s="7">
        <v>568.80916011421198</v>
      </c>
      <c r="AA127" s="7">
        <v>605.14494562196705</v>
      </c>
      <c r="AB127" s="7">
        <v>651.11599470285205</v>
      </c>
      <c r="AC127" s="7">
        <v>694.10565759402198</v>
      </c>
      <c r="AD127" s="7">
        <v>732.55761879082399</v>
      </c>
      <c r="AE127" s="7">
        <v>785.68408583475298</v>
      </c>
      <c r="AF127" s="7">
        <v>843.12542571545896</v>
      </c>
      <c r="AG127" s="7">
        <v>905.20721868139901</v>
      </c>
      <c r="AH127" s="7">
        <v>970.80335535377606</v>
      </c>
      <c r="AI127" s="7">
        <v>1034.8754406671601</v>
      </c>
      <c r="AJ127" s="7">
        <v>1097.6701585508299</v>
      </c>
      <c r="AK127" s="7">
        <v>1158.5544785305599</v>
      </c>
      <c r="AL127" s="7">
        <v>1217.27099175223</v>
      </c>
      <c r="AM127" s="7">
        <v>1274.5647074944</v>
      </c>
    </row>
    <row r="128" spans="1:39" x14ac:dyDescent="0.2">
      <c r="A128" s="12"/>
      <c r="B128" s="4" t="s">
        <v>124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</row>
    <row r="129" spans="1:39" x14ac:dyDescent="0.2">
      <c r="A129" s="12"/>
      <c r="B129" s="4" t="s">
        <v>132</v>
      </c>
      <c r="C129" s="7">
        <v>287.673332931765</v>
      </c>
      <c r="D129" s="7">
        <v>355.52792084412602</v>
      </c>
      <c r="E129" s="7">
        <v>351.67091804722901</v>
      </c>
      <c r="F129" s="7">
        <v>494.66799286846202</v>
      </c>
      <c r="G129" s="7">
        <v>499.47692089511401</v>
      </c>
      <c r="H129" s="7">
        <v>582.80721504109601</v>
      </c>
      <c r="I129" s="7">
        <v>627.49778979974303</v>
      </c>
      <c r="J129" s="7">
        <v>608.00736025544097</v>
      </c>
      <c r="K129" s="7">
        <v>588.74387358655702</v>
      </c>
      <c r="L129" s="7">
        <v>696.73856803307297</v>
      </c>
      <c r="M129" s="7">
        <v>806.01121373072999</v>
      </c>
      <c r="N129" s="7">
        <v>848.160900810106</v>
      </c>
      <c r="O129" s="7">
        <v>905.97592850739102</v>
      </c>
      <c r="P129" s="7">
        <v>961.83540962051404</v>
      </c>
      <c r="Q129" s="7">
        <v>1022.19555402982</v>
      </c>
      <c r="R129" s="7">
        <v>1108.2946590438</v>
      </c>
      <c r="S129" s="7">
        <v>1186.2853247855201</v>
      </c>
      <c r="T129" s="7">
        <v>1498.9372879627299</v>
      </c>
      <c r="U129" s="7">
        <v>1558.37450733217</v>
      </c>
      <c r="V129" s="7">
        <v>1569.1105846233299</v>
      </c>
      <c r="W129" s="7">
        <v>1538.56337103695</v>
      </c>
      <c r="X129" s="7">
        <v>1551.2019354194399</v>
      </c>
      <c r="Y129" s="7">
        <v>1691.75437457055</v>
      </c>
      <c r="Z129" s="7">
        <v>1665.77583158725</v>
      </c>
      <c r="AA129" s="7">
        <v>1647.00002491243</v>
      </c>
      <c r="AB129" s="7">
        <v>1694.27228729065</v>
      </c>
      <c r="AC129" s="7">
        <v>1668.9946391325</v>
      </c>
      <c r="AD129" s="7">
        <v>1731.95078503733</v>
      </c>
      <c r="AE129" s="7">
        <v>1817.91678595962</v>
      </c>
      <c r="AF129" s="7">
        <v>1978.00635392505</v>
      </c>
      <c r="AG129" s="7">
        <v>2338.2742563991701</v>
      </c>
      <c r="AH129" s="7">
        <v>2301.9149864483702</v>
      </c>
      <c r="AI129" s="7">
        <v>2262.4385107099902</v>
      </c>
      <c r="AJ129" s="7">
        <v>2220.0553161000598</v>
      </c>
      <c r="AK129" s="7">
        <v>2177.67745330453</v>
      </c>
      <c r="AL129" s="7">
        <v>2145.27964534797</v>
      </c>
      <c r="AM129" s="7">
        <v>2095.8133067264998</v>
      </c>
    </row>
    <row r="130" spans="1:39" x14ac:dyDescent="0.2">
      <c r="A130" s="12"/>
      <c r="B130" s="4" t="s">
        <v>129</v>
      </c>
      <c r="C130" s="7">
        <v>1780.2055368925</v>
      </c>
      <c r="D130" s="7">
        <v>2549.6387934734298</v>
      </c>
      <c r="E130" s="7">
        <v>2578.0986137221498</v>
      </c>
      <c r="F130" s="7">
        <v>2508.2017594057902</v>
      </c>
      <c r="G130" s="7">
        <v>2440.31565103309</v>
      </c>
      <c r="H130" s="7">
        <v>2333.0478828335799</v>
      </c>
      <c r="I130" s="7">
        <v>2280.1918617279998</v>
      </c>
      <c r="J130" s="7">
        <v>2226.8268844169202</v>
      </c>
      <c r="K130" s="7">
        <v>2159.3441755414601</v>
      </c>
      <c r="L130" s="7">
        <v>2050.6401780818101</v>
      </c>
      <c r="M130" s="7">
        <v>1985.7565036497799</v>
      </c>
      <c r="N130" s="7">
        <v>1924.0410162496901</v>
      </c>
      <c r="O130" s="7">
        <v>1859.9422200653901</v>
      </c>
      <c r="P130" s="7">
        <v>1777.60479684508</v>
      </c>
      <c r="Q130" s="7">
        <v>1708.1736376377601</v>
      </c>
      <c r="R130" s="7">
        <v>1636.1108146281099</v>
      </c>
      <c r="S130" s="7">
        <v>1561.0816903341499</v>
      </c>
      <c r="T130" s="7">
        <v>1482.73769938594</v>
      </c>
      <c r="U130" s="7">
        <v>1368.29004066793</v>
      </c>
      <c r="V130" s="7">
        <v>1281.44481938034</v>
      </c>
      <c r="W130" s="7">
        <v>1190.2742183406799</v>
      </c>
      <c r="X130" s="7">
        <v>1092.57308573251</v>
      </c>
      <c r="Y130" s="7">
        <v>985.45058464503404</v>
      </c>
      <c r="Z130" s="7">
        <v>875.02824748942999</v>
      </c>
      <c r="AA130" s="7">
        <v>754.42446766137505</v>
      </c>
      <c r="AB130" s="7">
        <v>643.73493275035503</v>
      </c>
      <c r="AC130" s="7">
        <v>517.805880440078</v>
      </c>
      <c r="AD130" s="7">
        <v>400.71179239533097</v>
      </c>
      <c r="AE130" s="7">
        <v>280.96551880739497</v>
      </c>
      <c r="AF130" s="7">
        <v>150.19838921851999</v>
      </c>
      <c r="AG130" s="7">
        <v>24.4723370329441</v>
      </c>
      <c r="AH130" s="7">
        <v>24.4723370329441</v>
      </c>
      <c r="AI130" s="7">
        <v>17.129167288767398</v>
      </c>
      <c r="AJ130" s="7">
        <v>17.129167288767398</v>
      </c>
      <c r="AK130" s="7">
        <v>17.129167288767398</v>
      </c>
      <c r="AL130" s="7">
        <v>17.129167288767398</v>
      </c>
      <c r="AM130" s="7">
        <v>17.129167288767398</v>
      </c>
    </row>
    <row r="131" spans="1:39" x14ac:dyDescent="0.2">
      <c r="A131" s="12"/>
      <c r="B131" s="4" t="s">
        <v>123</v>
      </c>
      <c r="C131" s="7">
        <v>3131.8938480792999</v>
      </c>
      <c r="D131" s="7">
        <v>2990.40933701213</v>
      </c>
      <c r="E131" s="7">
        <v>3438.1030522236601</v>
      </c>
      <c r="F131" s="7">
        <v>3596.0647748522301</v>
      </c>
      <c r="G131" s="7">
        <v>3842.0988948761001</v>
      </c>
      <c r="H131" s="7">
        <v>3826.6421339951798</v>
      </c>
      <c r="I131" s="7">
        <v>3534.28144398727</v>
      </c>
      <c r="J131" s="7">
        <v>3328.4899059910299</v>
      </c>
      <c r="K131" s="7">
        <v>3221.1813665992699</v>
      </c>
      <c r="L131" s="7">
        <v>3099.9286803584801</v>
      </c>
      <c r="M131" s="7">
        <v>3018.8640745573298</v>
      </c>
      <c r="N131" s="7">
        <v>2954.30102221367</v>
      </c>
      <c r="O131" s="7">
        <v>2912.21899497923</v>
      </c>
      <c r="P131" s="7">
        <v>2829.5844919732599</v>
      </c>
      <c r="Q131" s="7">
        <v>2760.61305758656</v>
      </c>
      <c r="R131" s="7">
        <v>2688.6984386096801</v>
      </c>
      <c r="S131" s="7">
        <v>2554.6439803285998</v>
      </c>
      <c r="T131" s="7">
        <v>2424.1349266041798</v>
      </c>
      <c r="U131" s="7">
        <v>2315.5863507909498</v>
      </c>
      <c r="V131" s="7">
        <v>2186.4930789725699</v>
      </c>
      <c r="W131" s="7">
        <v>2053.1332564777199</v>
      </c>
      <c r="X131" s="7">
        <v>1910.47013163574</v>
      </c>
      <c r="Y131" s="7">
        <v>1729.7385943914901</v>
      </c>
      <c r="Z131" s="7">
        <v>1567.86519136677</v>
      </c>
      <c r="AA131" s="7">
        <v>1396.5413581196301</v>
      </c>
      <c r="AB131" s="7">
        <v>1194.88927832581</v>
      </c>
      <c r="AC131" s="7">
        <v>1005.55522077811</v>
      </c>
      <c r="AD131" s="7">
        <v>779.803126681972</v>
      </c>
      <c r="AE131" s="7">
        <v>573.78887482386403</v>
      </c>
      <c r="AF131" s="7">
        <v>358.70605349021702</v>
      </c>
      <c r="AG131" s="7">
        <v>119.69197251529501</v>
      </c>
      <c r="AH131" s="7">
        <v>119.69197251529501</v>
      </c>
      <c r="AI131" s="7">
        <v>119.69197251529501</v>
      </c>
      <c r="AJ131" s="7">
        <v>119.69197251529501</v>
      </c>
      <c r="AK131" s="7">
        <v>119.69197251529501</v>
      </c>
      <c r="AL131" s="7">
        <v>119.69197251529501</v>
      </c>
      <c r="AM131" s="7">
        <v>119.69197251529501</v>
      </c>
    </row>
  </sheetData>
  <mergeCells count="12">
    <mergeCell ref="A92:A111"/>
    <mergeCell ref="A112:A131"/>
    <mergeCell ref="C2:AM2"/>
    <mergeCell ref="C1:AM1"/>
    <mergeCell ref="A4:A23"/>
    <mergeCell ref="A24:A43"/>
    <mergeCell ref="C45:AM45"/>
    <mergeCell ref="C46:AM46"/>
    <mergeCell ref="A48:A67"/>
    <mergeCell ref="A68:A87"/>
    <mergeCell ref="C89:AM89"/>
    <mergeCell ref="C90:AM9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11E0-C146-754B-A571-3178F64438F4}">
  <dimension ref="A1:BY134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83203125" defaultRowHeight="15" x14ac:dyDescent="0.2"/>
  <cols>
    <col min="2" max="2" width="21.83203125" bestFit="1" customWidth="1"/>
    <col min="3" max="39" width="6" customWidth="1"/>
    <col min="41" max="41" width="9.1640625" bestFit="1" customWidth="1"/>
  </cols>
  <sheetData>
    <row r="1" spans="1:39" x14ac:dyDescent="0.2">
      <c r="C1" s="10" t="s">
        <v>40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x14ac:dyDescent="0.2">
      <c r="C2" s="10" t="s">
        <v>39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</row>
    <row r="3" spans="1:39" x14ac:dyDescent="0.2"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  <c r="R3" s="11" t="s">
        <v>17</v>
      </c>
      <c r="S3" s="11" t="s">
        <v>18</v>
      </c>
      <c r="T3" s="11" t="s">
        <v>19</v>
      </c>
      <c r="U3" s="11" t="s">
        <v>20</v>
      </c>
      <c r="V3" s="11" t="s">
        <v>21</v>
      </c>
      <c r="W3" s="11" t="s">
        <v>22</v>
      </c>
      <c r="X3" s="11" t="s">
        <v>23</v>
      </c>
      <c r="Y3" s="11" t="s">
        <v>24</v>
      </c>
      <c r="Z3" s="11" t="s">
        <v>25</v>
      </c>
      <c r="AA3" s="11" t="s">
        <v>26</v>
      </c>
      <c r="AB3" s="11" t="s">
        <v>27</v>
      </c>
      <c r="AC3" s="11" t="s">
        <v>28</v>
      </c>
      <c r="AD3" s="11" t="s">
        <v>29</v>
      </c>
      <c r="AE3" s="11" t="s">
        <v>30</v>
      </c>
      <c r="AF3" s="11" t="s">
        <v>31</v>
      </c>
      <c r="AG3" s="11" t="s">
        <v>32</v>
      </c>
      <c r="AH3" s="11" t="s">
        <v>33</v>
      </c>
      <c r="AI3" s="11" t="s">
        <v>34</v>
      </c>
      <c r="AJ3" s="11" t="s">
        <v>35</v>
      </c>
      <c r="AK3" s="11" t="s">
        <v>36</v>
      </c>
      <c r="AL3" s="11" t="s">
        <v>37</v>
      </c>
      <c r="AM3" s="11" t="s">
        <v>38</v>
      </c>
    </row>
    <row r="4" spans="1:39" ht="15" customHeight="1" x14ac:dyDescent="0.2">
      <c r="A4" s="12" t="s">
        <v>0</v>
      </c>
      <c r="B4" s="4" t="s">
        <v>133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</row>
    <row r="5" spans="1:39" x14ac:dyDescent="0.2">
      <c r="A5" s="12"/>
      <c r="B5" s="4" t="s">
        <v>134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</row>
    <row r="6" spans="1:39" x14ac:dyDescent="0.2">
      <c r="A6" s="12"/>
      <c r="B6" s="4" t="s">
        <v>135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</row>
    <row r="7" spans="1:39" x14ac:dyDescent="0.2">
      <c r="A7" s="12"/>
      <c r="B7" s="4" t="s">
        <v>136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</row>
    <row r="8" spans="1:39" x14ac:dyDescent="0.2">
      <c r="A8" s="12"/>
      <c r="B8" s="4" t="s">
        <v>122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</row>
    <row r="9" spans="1:39" x14ac:dyDescent="0.2">
      <c r="A9" s="12"/>
      <c r="B9" s="4" t="s">
        <v>128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</row>
    <row r="10" spans="1:39" x14ac:dyDescent="0.2">
      <c r="A10" s="12"/>
      <c r="B10" s="4" t="s">
        <v>120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</row>
    <row r="11" spans="1:39" x14ac:dyDescent="0.2">
      <c r="A11" s="12"/>
      <c r="B11" s="4" t="s">
        <v>131</v>
      </c>
      <c r="C11" s="7">
        <v>51.370288694422797</v>
      </c>
      <c r="D11" s="7">
        <v>40.454679441768398</v>
      </c>
      <c r="E11" s="7">
        <v>27.9242179377258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383.445922574691</v>
      </c>
      <c r="X11" s="7">
        <v>396.08950684913799</v>
      </c>
      <c r="Y11" s="7">
        <v>303.98942872929598</v>
      </c>
      <c r="Z11" s="7">
        <v>428.92563582378898</v>
      </c>
      <c r="AA11" s="7">
        <v>8.7438467145852705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</row>
    <row r="12" spans="1:39" x14ac:dyDescent="0.2">
      <c r="A12" s="12"/>
      <c r="B12" s="4" t="s">
        <v>119</v>
      </c>
      <c r="C12" s="7">
        <v>5.5324457240216098E-2</v>
      </c>
      <c r="D12" s="7">
        <v>4.8126612443268303E-2</v>
      </c>
      <c r="E12" s="7">
        <v>4.0714583751857103E-2</v>
      </c>
      <c r="F12" s="7">
        <v>3.6785028704112799</v>
      </c>
      <c r="G12" s="7">
        <v>3.7872847362028401</v>
      </c>
      <c r="H12" s="7">
        <v>3.89474615269727</v>
      </c>
      <c r="I12" s="7">
        <v>4.0358133656174999</v>
      </c>
      <c r="J12" s="7">
        <v>4.21061294975918</v>
      </c>
      <c r="K12" s="7">
        <v>4.4140101331204296</v>
      </c>
      <c r="L12" s="7">
        <v>4.6640955288139203</v>
      </c>
      <c r="M12" s="7">
        <v>4.9563870219004498</v>
      </c>
      <c r="N12" s="7">
        <v>5.2916977076858895</v>
      </c>
      <c r="O12" s="7">
        <v>5.6695425680616003</v>
      </c>
      <c r="P12" s="7">
        <v>6.07333455595509</v>
      </c>
      <c r="Q12" s="7">
        <v>7.3395419313341899</v>
      </c>
      <c r="R12" s="7">
        <v>7.8437172572978096</v>
      </c>
      <c r="S12" s="7">
        <v>8.3637010316113809</v>
      </c>
      <c r="T12" s="7">
        <v>8.8522491426155501</v>
      </c>
      <c r="U12" s="7">
        <v>9.4027215229449901</v>
      </c>
      <c r="V12" s="7">
        <v>9.1792310995485202</v>
      </c>
      <c r="W12" s="7">
        <v>9.7218591986954799</v>
      </c>
      <c r="X12" s="7">
        <v>10.2591196325872</v>
      </c>
      <c r="Y12" s="7">
        <v>10.790004408461</v>
      </c>
      <c r="Z12" s="7">
        <v>14.9154490320393</v>
      </c>
      <c r="AA12" s="7">
        <v>15.519214326954099</v>
      </c>
      <c r="AB12" s="7">
        <v>16.107307424219002</v>
      </c>
      <c r="AC12" s="7">
        <v>16.715507197505499</v>
      </c>
      <c r="AD12" s="7">
        <v>17.344826721670401</v>
      </c>
      <c r="AE12" s="7">
        <v>17.8470421598523</v>
      </c>
      <c r="AF12" s="7">
        <v>18.455375437699601</v>
      </c>
      <c r="AG12" s="7">
        <v>19.0970075497004</v>
      </c>
      <c r="AH12" s="7">
        <v>19.776179405122502</v>
      </c>
      <c r="AI12" s="7">
        <v>20.49239709918</v>
      </c>
      <c r="AJ12" s="7">
        <v>21.2322133942717</v>
      </c>
      <c r="AK12" s="7">
        <v>22.835736137486901</v>
      </c>
      <c r="AL12" s="7">
        <v>23.679906257847101</v>
      </c>
      <c r="AM12" s="7">
        <v>24.545590845254001</v>
      </c>
    </row>
    <row r="13" spans="1:39" x14ac:dyDescent="0.2">
      <c r="A13" s="12"/>
      <c r="B13" s="4" t="s">
        <v>125</v>
      </c>
      <c r="C13" s="7">
        <v>0</v>
      </c>
      <c r="D13" s="7">
        <v>0</v>
      </c>
      <c r="E13" s="7">
        <v>0</v>
      </c>
      <c r="F13" s="7">
        <v>361.048940910537</v>
      </c>
      <c r="G13" s="7">
        <v>0</v>
      </c>
      <c r="H13" s="7">
        <v>1580.3245746197099</v>
      </c>
      <c r="I13" s="7">
        <v>25.4837677761635</v>
      </c>
      <c r="J13" s="7">
        <v>27.299994607505699</v>
      </c>
      <c r="K13" s="7">
        <v>88.261196052745802</v>
      </c>
      <c r="L13" s="7">
        <v>30.683387134950799</v>
      </c>
      <c r="M13" s="7">
        <v>32.8716320988636</v>
      </c>
      <c r="N13" s="7">
        <v>34.985498847527403</v>
      </c>
      <c r="O13" s="7">
        <v>37.391016153903003</v>
      </c>
      <c r="P13" s="7">
        <v>39.6257881776136</v>
      </c>
      <c r="Q13" s="7">
        <v>42.479938712336001</v>
      </c>
      <c r="R13" s="7">
        <v>45.502153537134099</v>
      </c>
      <c r="S13" s="7">
        <v>48.503938558375097</v>
      </c>
      <c r="T13" s="7">
        <v>51.335902641099302</v>
      </c>
      <c r="U13" s="7">
        <v>52.777337280202403</v>
      </c>
      <c r="V13" s="7">
        <v>54.341617608298201</v>
      </c>
      <c r="W13" s="7">
        <v>55.529376983825301</v>
      </c>
      <c r="X13" s="7">
        <v>56.810352524780697</v>
      </c>
      <c r="Y13" s="7">
        <v>58.1930503210247</v>
      </c>
      <c r="Z13" s="7">
        <v>59.305437341141399</v>
      </c>
      <c r="AA13" s="7">
        <v>60.5202905937143</v>
      </c>
      <c r="AB13" s="7">
        <v>62.027233656344002</v>
      </c>
      <c r="AC13" s="7">
        <v>63.924726588628197</v>
      </c>
      <c r="AD13" s="7">
        <v>66.071332316561595</v>
      </c>
      <c r="AE13" s="7">
        <v>72.715212544315804</v>
      </c>
      <c r="AF13" s="7">
        <v>73.521020983157001</v>
      </c>
      <c r="AG13" s="7">
        <v>73.769655444201504</v>
      </c>
      <c r="AH13" s="7">
        <v>74.011175011575403</v>
      </c>
      <c r="AI13" s="7">
        <v>73.725670992925799</v>
      </c>
      <c r="AJ13" s="7">
        <v>382.353823759546</v>
      </c>
      <c r="AK13" s="7">
        <v>73.570413471152804</v>
      </c>
      <c r="AL13" s="7">
        <v>1462.2482165583399</v>
      </c>
      <c r="AM13" s="7">
        <v>96.832480039569703</v>
      </c>
    </row>
    <row r="14" spans="1:39" x14ac:dyDescent="0.2">
      <c r="A14" s="12"/>
      <c r="B14" s="4" t="s">
        <v>137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</row>
    <row r="15" spans="1:39" x14ac:dyDescent="0.2">
      <c r="A15" s="12"/>
      <c r="B15" s="4" t="s">
        <v>138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</row>
    <row r="16" spans="1:39" x14ac:dyDescent="0.2">
      <c r="A16" s="12"/>
      <c r="B16" s="4" t="s">
        <v>127</v>
      </c>
      <c r="C16" s="7">
        <v>0</v>
      </c>
      <c r="D16" s="7">
        <v>0</v>
      </c>
      <c r="E16" s="7">
        <v>5595.3086977169696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1462.43874722189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5595.3086977169696</v>
      </c>
      <c r="AJ16" s="7">
        <v>0</v>
      </c>
      <c r="AK16" s="7">
        <v>0</v>
      </c>
      <c r="AL16" s="7">
        <v>0</v>
      </c>
      <c r="AM16" s="7">
        <v>0</v>
      </c>
    </row>
    <row r="17" spans="1:39" x14ac:dyDescent="0.2">
      <c r="A17" s="12"/>
      <c r="B17" s="4" t="s">
        <v>121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3602.8254572904498</v>
      </c>
      <c r="U17" s="7">
        <v>276.68733310477501</v>
      </c>
      <c r="V17" s="7">
        <v>286.304818897806</v>
      </c>
      <c r="W17" s="7">
        <v>294.02477752717499</v>
      </c>
      <c r="X17" s="7">
        <v>8575.28886814414</v>
      </c>
      <c r="Y17" s="7">
        <v>311.239686328353</v>
      </c>
      <c r="Z17" s="7">
        <v>325.01598333729601</v>
      </c>
      <c r="AA17" s="7">
        <v>336.03223680975202</v>
      </c>
      <c r="AB17" s="7">
        <v>344.70468474362099</v>
      </c>
      <c r="AC17" s="7">
        <v>340.00416172837703</v>
      </c>
      <c r="AD17" s="7">
        <v>348.34426917672698</v>
      </c>
      <c r="AE17" s="7">
        <v>398.98043245988498</v>
      </c>
      <c r="AF17" s="7">
        <v>403.40181538870502</v>
      </c>
      <c r="AG17" s="7">
        <v>508.139129882053</v>
      </c>
      <c r="AH17" s="7">
        <v>1226.61529380822</v>
      </c>
      <c r="AI17" s="7">
        <v>638.89757260838701</v>
      </c>
      <c r="AJ17" s="7">
        <v>409.47979368464303</v>
      </c>
      <c r="AK17" s="7">
        <v>154.114569474284</v>
      </c>
      <c r="AL17" s="7">
        <v>678.61305066972</v>
      </c>
      <c r="AM17" s="7">
        <v>0</v>
      </c>
    </row>
    <row r="18" spans="1:39" x14ac:dyDescent="0.2">
      <c r="A18" s="12"/>
      <c r="B18" s="4" t="s">
        <v>126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3518.8316770606598</v>
      </c>
      <c r="U18" s="7">
        <v>1098.8012645961901</v>
      </c>
      <c r="V18" s="7">
        <v>1329.8072928322499</v>
      </c>
      <c r="W18" s="7">
        <v>542.04981170882297</v>
      </c>
      <c r="X18" s="7">
        <v>564.32135021674901</v>
      </c>
      <c r="Y18" s="7">
        <v>793.866489592324</v>
      </c>
      <c r="Z18" s="7">
        <v>561.43873025173195</v>
      </c>
      <c r="AA18" s="7">
        <v>554.86886109149805</v>
      </c>
      <c r="AB18" s="7">
        <v>539.46315639027705</v>
      </c>
      <c r="AC18" s="7">
        <v>542.19489927108805</v>
      </c>
      <c r="AD18" s="7">
        <v>541.72913258958999</v>
      </c>
      <c r="AE18" s="7">
        <v>598.03818541508394</v>
      </c>
      <c r="AF18" s="7">
        <v>604.52229411188</v>
      </c>
      <c r="AG18" s="7">
        <v>589.11739067762005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</row>
    <row r="19" spans="1:39" ht="15" customHeight="1" x14ac:dyDescent="0.2">
      <c r="A19" s="12"/>
      <c r="B19" s="4" t="s">
        <v>130</v>
      </c>
      <c r="C19" s="7">
        <v>0</v>
      </c>
      <c r="D19" s="7">
        <v>837.51958354964597</v>
      </c>
      <c r="E19" s="7">
        <v>68.982526280313493</v>
      </c>
      <c r="F19" s="7">
        <v>55.388155336035403</v>
      </c>
      <c r="G19" s="7">
        <v>0</v>
      </c>
      <c r="H19" s="7">
        <v>31.723000592205601</v>
      </c>
      <c r="I19" s="7">
        <v>101.489843324275</v>
      </c>
      <c r="J19" s="7">
        <v>336.78917060724399</v>
      </c>
      <c r="K19" s="7">
        <v>353.083122968851</v>
      </c>
      <c r="L19" s="7">
        <v>330.74777947257297</v>
      </c>
      <c r="M19" s="7">
        <v>423.94963610170998</v>
      </c>
      <c r="N19" s="7">
        <v>51.717803732600899</v>
      </c>
      <c r="O19" s="7">
        <v>55.634169254381597</v>
      </c>
      <c r="P19" s="7">
        <v>33.663340257572401</v>
      </c>
      <c r="Q19" s="7">
        <v>0</v>
      </c>
      <c r="R19" s="7">
        <v>0</v>
      </c>
      <c r="S19" s="7">
        <v>0</v>
      </c>
      <c r="T19" s="7">
        <v>0</v>
      </c>
      <c r="U19" s="7">
        <v>174.89531898769101</v>
      </c>
      <c r="V19" s="7">
        <v>260.75754501848701</v>
      </c>
      <c r="W19" s="7">
        <v>222.19139272910701</v>
      </c>
      <c r="X19" s="7">
        <v>546.61330550548098</v>
      </c>
      <c r="Y19" s="7">
        <v>1417.1230033222901</v>
      </c>
      <c r="Z19" s="7">
        <v>281.92008399359003</v>
      </c>
      <c r="AA19" s="7">
        <v>1034.73215034536</v>
      </c>
      <c r="AB19" s="7">
        <v>225.940877151216</v>
      </c>
      <c r="AC19" s="7">
        <v>531.338798669874</v>
      </c>
      <c r="AD19" s="7">
        <v>213.30594830459299</v>
      </c>
      <c r="AE19" s="7">
        <v>212.52017750433001</v>
      </c>
      <c r="AF19" s="7">
        <v>1892.4863981999199</v>
      </c>
      <c r="AG19" s="7">
        <v>203.071842935722</v>
      </c>
      <c r="AH19" s="7">
        <v>667.28619580707698</v>
      </c>
      <c r="AI19" s="7">
        <v>417.22561187071102</v>
      </c>
      <c r="AJ19" s="7">
        <v>470.952518444166</v>
      </c>
      <c r="AK19" s="7">
        <v>457.112395365662</v>
      </c>
      <c r="AL19" s="7">
        <v>187.05183737853699</v>
      </c>
      <c r="AM19" s="7">
        <v>446.67628548065898</v>
      </c>
    </row>
    <row r="20" spans="1:39" x14ac:dyDescent="0.2">
      <c r="A20" s="12"/>
      <c r="B20" s="4" t="s">
        <v>124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</row>
    <row r="21" spans="1:39" x14ac:dyDescent="0.2">
      <c r="A21" s="12"/>
      <c r="B21" s="4" t="s">
        <v>132</v>
      </c>
      <c r="C21" s="7">
        <v>0</v>
      </c>
      <c r="D21" s="7">
        <v>1081.95390043054</v>
      </c>
      <c r="E21" s="7">
        <v>107.175275974535</v>
      </c>
      <c r="F21" s="7">
        <v>949.22943474343003</v>
      </c>
      <c r="G21" s="7">
        <v>0</v>
      </c>
      <c r="H21" s="7">
        <v>671.57712888549304</v>
      </c>
      <c r="I21" s="7">
        <v>50.2119421232562</v>
      </c>
      <c r="J21" s="7">
        <v>0</v>
      </c>
      <c r="K21" s="7">
        <v>0</v>
      </c>
      <c r="L21" s="7">
        <v>0</v>
      </c>
      <c r="M21" s="7">
        <v>32.445592194164398</v>
      </c>
      <c r="N21" s="7">
        <v>206.10956752832701</v>
      </c>
      <c r="O21" s="7">
        <v>2107.0897484038801</v>
      </c>
      <c r="P21" s="7">
        <v>153.79664885332301</v>
      </c>
      <c r="Q21" s="7">
        <v>185.58873571043199</v>
      </c>
      <c r="R21" s="7">
        <v>288.23694639601501</v>
      </c>
      <c r="S21" s="7">
        <v>243.15823620829499</v>
      </c>
      <c r="T21" s="7">
        <v>1014.27929879424</v>
      </c>
      <c r="U21" s="7">
        <v>0</v>
      </c>
      <c r="V21" s="7">
        <v>358.80890389121799</v>
      </c>
      <c r="W21" s="7">
        <v>193.235494997214</v>
      </c>
      <c r="X21" s="7">
        <v>1196.72836658091</v>
      </c>
      <c r="Y21" s="7">
        <v>597.234269184715</v>
      </c>
      <c r="Z21" s="7">
        <v>1065.072806547</v>
      </c>
      <c r="AA21" s="7">
        <v>194.055021644525</v>
      </c>
      <c r="AB21" s="7">
        <v>828.940113655961</v>
      </c>
      <c r="AC21" s="7">
        <v>256.23549730576298</v>
      </c>
      <c r="AD21" s="7">
        <v>217.83598596071599</v>
      </c>
      <c r="AE21" s="7">
        <v>254.64026780734599</v>
      </c>
      <c r="AF21" s="7">
        <v>248.29143985365999</v>
      </c>
      <c r="AG21" s="7">
        <v>257.30026964240301</v>
      </c>
      <c r="AH21" s="7">
        <v>467.84344297636397</v>
      </c>
      <c r="AI21" s="7">
        <v>2363.1628714777498</v>
      </c>
      <c r="AJ21" s="7">
        <v>517.42557334384298</v>
      </c>
      <c r="AK21" s="7">
        <v>545.47832729936897</v>
      </c>
      <c r="AL21" s="7">
        <v>485.20546478393101</v>
      </c>
      <c r="AM21" s="7">
        <v>540.32875410602298</v>
      </c>
    </row>
    <row r="22" spans="1:39" x14ac:dyDescent="0.2">
      <c r="A22" s="12"/>
      <c r="B22" s="4" t="s">
        <v>129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198.04674249299401</v>
      </c>
      <c r="S22" s="7">
        <v>242.629740761238</v>
      </c>
      <c r="T22" s="7">
        <v>2365.9837166284901</v>
      </c>
      <c r="U22" s="7">
        <v>3311.1516499116801</v>
      </c>
      <c r="V22" s="7">
        <v>131.24915112339599</v>
      </c>
      <c r="W22" s="7">
        <v>134.08237857424999</v>
      </c>
      <c r="X22" s="7">
        <v>386.72327552735601</v>
      </c>
      <c r="Y22" s="7">
        <v>923.40293423569995</v>
      </c>
      <c r="Z22" s="7">
        <v>853.48863766387501</v>
      </c>
      <c r="AA22" s="7">
        <v>1493.4270567098999</v>
      </c>
      <c r="AB22" s="7">
        <v>150.52618129882401</v>
      </c>
      <c r="AC22" s="7">
        <v>1348.1502618882901</v>
      </c>
      <c r="AD22" s="7">
        <v>156.696430164411</v>
      </c>
      <c r="AE22" s="7">
        <v>145.77936108936501</v>
      </c>
      <c r="AF22" s="7">
        <v>934.54085224155006</v>
      </c>
      <c r="AG22" s="7">
        <v>156.71807527764301</v>
      </c>
      <c r="AH22" s="7">
        <v>161.87713110754299</v>
      </c>
      <c r="AI22" s="7">
        <v>901.18967026800601</v>
      </c>
      <c r="AJ22" s="7">
        <v>171.51685652470201</v>
      </c>
      <c r="AK22" s="7">
        <v>231.023726286618</v>
      </c>
      <c r="AL22" s="7">
        <v>364.61099038725501</v>
      </c>
      <c r="AM22" s="7">
        <v>366.76568906766499</v>
      </c>
    </row>
    <row r="23" spans="1:39" x14ac:dyDescent="0.2">
      <c r="A23" s="12"/>
      <c r="B23" s="4" t="s">
        <v>123</v>
      </c>
      <c r="C23" s="7">
        <v>1968.13547330644</v>
      </c>
      <c r="D23" s="7">
        <v>0</v>
      </c>
      <c r="E23" s="7">
        <v>2510.6963081652302</v>
      </c>
      <c r="F23" s="7">
        <v>273.78163329244001</v>
      </c>
      <c r="G23" s="7">
        <v>904.54442029199799</v>
      </c>
      <c r="H23" s="7">
        <v>1937.74053889216</v>
      </c>
      <c r="I23" s="7">
        <v>1392.0573124149601</v>
      </c>
      <c r="J23" s="7">
        <v>422.21833755960103</v>
      </c>
      <c r="K23" s="7">
        <v>444.991340923471</v>
      </c>
      <c r="L23" s="7">
        <v>1163.2566578332001</v>
      </c>
      <c r="M23" s="7">
        <v>2110.87830005767</v>
      </c>
      <c r="N23" s="7">
        <v>545.20256873383403</v>
      </c>
      <c r="O23" s="7">
        <v>1450.6045580750399</v>
      </c>
      <c r="P23" s="7">
        <v>678.79872901209797</v>
      </c>
      <c r="Q23" s="7">
        <v>768.35742827922104</v>
      </c>
      <c r="R23" s="7">
        <v>743.80759202962895</v>
      </c>
      <c r="S23" s="7">
        <v>1321.31691785352</v>
      </c>
      <c r="T23" s="7">
        <v>14798.0217564623</v>
      </c>
      <c r="U23" s="7">
        <v>941.71995924059797</v>
      </c>
      <c r="V23" s="7">
        <v>1419.2378549530499</v>
      </c>
      <c r="W23" s="7">
        <v>905.29872950505796</v>
      </c>
      <c r="X23" s="7">
        <v>927.80659235031203</v>
      </c>
      <c r="Y23" s="7">
        <v>3805.84728335209</v>
      </c>
      <c r="Z23" s="7">
        <v>978.11511002900295</v>
      </c>
      <c r="AA23" s="7">
        <v>1003.12462305124</v>
      </c>
      <c r="AB23" s="7">
        <v>3001.5235509286899</v>
      </c>
      <c r="AC23" s="7">
        <v>1071.0294654655199</v>
      </c>
      <c r="AD23" s="7">
        <v>3623.5430818869199</v>
      </c>
      <c r="AE23" s="7">
        <v>1497.6026157213901</v>
      </c>
      <c r="AF23" s="7">
        <v>2141.9450051787298</v>
      </c>
      <c r="AG23" s="7">
        <v>3175.8070876429401</v>
      </c>
      <c r="AH23" s="7">
        <v>2609.6136387660899</v>
      </c>
      <c r="AI23" s="7">
        <v>1655.1121680813501</v>
      </c>
      <c r="AJ23" s="7">
        <v>1681.6372149434201</v>
      </c>
      <c r="AK23" s="7">
        <v>2410.1962237074699</v>
      </c>
      <c r="AL23" s="7">
        <v>3341.81014634948</v>
      </c>
      <c r="AM23" s="7">
        <v>1806.8418202958201</v>
      </c>
    </row>
    <row r="24" spans="1:39" x14ac:dyDescent="0.2">
      <c r="A24" s="12" t="s">
        <v>1</v>
      </c>
      <c r="B24" s="4" t="s">
        <v>133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</row>
    <row r="25" spans="1:39" x14ac:dyDescent="0.2">
      <c r="A25" s="12"/>
      <c r="B25" s="4" t="s">
        <v>134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</row>
    <row r="26" spans="1:39" x14ac:dyDescent="0.2">
      <c r="A26" s="12"/>
      <c r="B26" s="4" t="s">
        <v>135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</row>
    <row r="27" spans="1:39" x14ac:dyDescent="0.2">
      <c r="A27" s="12"/>
      <c r="B27" s="4" t="s">
        <v>136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</row>
    <row r="28" spans="1:39" x14ac:dyDescent="0.2">
      <c r="A28" s="12"/>
      <c r="B28" s="4" t="s">
        <v>122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</row>
    <row r="29" spans="1:39" x14ac:dyDescent="0.2">
      <c r="A29" s="12"/>
      <c r="B29" s="4" t="s">
        <v>128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</row>
    <row r="30" spans="1:39" x14ac:dyDescent="0.2">
      <c r="A30" s="12"/>
      <c r="B30" s="4" t="s">
        <v>120</v>
      </c>
      <c r="C30" s="7">
        <v>19.177500187377401</v>
      </c>
      <c r="D30" s="7">
        <v>17.803062031316099</v>
      </c>
      <c r="E30" s="7">
        <v>16.912008990252001</v>
      </c>
      <c r="F30" s="7">
        <v>106.60148628951499</v>
      </c>
      <c r="G30" s="7">
        <v>190.349646877532</v>
      </c>
      <c r="H30" s="7">
        <v>12.3744733265018</v>
      </c>
      <c r="I30" s="7">
        <v>10.423323092292801</v>
      </c>
      <c r="J30" s="7">
        <v>8.2431505269302505</v>
      </c>
      <c r="K30" s="7">
        <v>7.6284696234662697</v>
      </c>
      <c r="L30" s="7">
        <v>6.9643068955528502</v>
      </c>
      <c r="M30" s="7">
        <v>4.38023132703945</v>
      </c>
      <c r="N30" s="7">
        <v>4.23209472400168</v>
      </c>
      <c r="O30" s="7">
        <v>4.13543354585582</v>
      </c>
      <c r="P30" s="7">
        <v>3.5400321525097702</v>
      </c>
      <c r="Q30" s="7">
        <v>3.4591777053213901</v>
      </c>
      <c r="R30" s="7">
        <v>2.8460393493501299</v>
      </c>
      <c r="S30" s="7">
        <v>2.1344643991660699</v>
      </c>
      <c r="T30" s="7">
        <v>2.2632098267453102</v>
      </c>
      <c r="U30" s="7">
        <v>2.2333927654269399</v>
      </c>
      <c r="V30" s="7">
        <v>1.8379516814330601</v>
      </c>
      <c r="W30" s="7">
        <v>1.8142123718710099</v>
      </c>
      <c r="X30" s="7">
        <v>1.7910152683349601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</row>
    <row r="31" spans="1:39" x14ac:dyDescent="0.2">
      <c r="A31" s="12"/>
      <c r="B31" s="4" t="s">
        <v>131</v>
      </c>
      <c r="C31" s="7">
        <v>1E-3</v>
      </c>
      <c r="D31" s="7">
        <v>1E-3</v>
      </c>
      <c r="E31" s="7">
        <v>1E-3</v>
      </c>
      <c r="F31" s="7">
        <v>1E-3</v>
      </c>
      <c r="G31" s="7">
        <v>1E-3</v>
      </c>
      <c r="H31" s="7">
        <v>1E-3</v>
      </c>
      <c r="I31" s="7">
        <v>1E-3</v>
      </c>
      <c r="J31" s="7">
        <v>1E-3</v>
      </c>
      <c r="K31" s="7">
        <v>1E-3</v>
      </c>
      <c r="L31" s="7">
        <v>1E-3</v>
      </c>
      <c r="M31" s="7">
        <v>1E-3</v>
      </c>
      <c r="N31" s="7">
        <v>1E-3</v>
      </c>
      <c r="O31" s="7">
        <v>1E-3</v>
      </c>
      <c r="P31" s="7">
        <v>1E-3</v>
      </c>
      <c r="Q31" s="7">
        <v>1E-3</v>
      </c>
      <c r="R31" s="7">
        <v>1E-3</v>
      </c>
      <c r="S31" s="7">
        <v>1E-3</v>
      </c>
      <c r="T31" s="7">
        <v>1E-3</v>
      </c>
      <c r="U31" s="7">
        <v>1E-3</v>
      </c>
      <c r="V31" s="7">
        <v>1E-3</v>
      </c>
      <c r="W31" s="7">
        <v>1E-3</v>
      </c>
      <c r="X31" s="7">
        <v>1E-3</v>
      </c>
      <c r="Y31" s="7">
        <v>1E-3</v>
      </c>
      <c r="Z31" s="7">
        <v>1E-3</v>
      </c>
      <c r="AA31" s="7">
        <v>1E-3</v>
      </c>
      <c r="AB31" s="7">
        <v>1E-3</v>
      </c>
      <c r="AC31" s="7">
        <v>1E-3</v>
      </c>
      <c r="AD31" s="7">
        <v>1E-3</v>
      </c>
      <c r="AE31" s="7">
        <v>1E-3</v>
      </c>
      <c r="AF31" s="7">
        <v>1E-3</v>
      </c>
      <c r="AG31" s="7">
        <v>1E-3</v>
      </c>
      <c r="AH31" s="7">
        <v>1E-3</v>
      </c>
      <c r="AI31" s="7">
        <v>1E-3</v>
      </c>
      <c r="AJ31" s="7">
        <v>1E-3</v>
      </c>
      <c r="AK31" s="7">
        <v>1E-3</v>
      </c>
      <c r="AL31" s="7">
        <v>1E-3</v>
      </c>
      <c r="AM31" s="7">
        <v>1E-3</v>
      </c>
    </row>
    <row r="32" spans="1:39" x14ac:dyDescent="0.2">
      <c r="A32" s="12"/>
      <c r="B32" s="4" t="s">
        <v>119</v>
      </c>
      <c r="C32" s="7">
        <v>0.84460911164127905</v>
      </c>
      <c r="D32" s="7">
        <v>0.85419239258086899</v>
      </c>
      <c r="E32" s="7">
        <v>0.86229974264404696</v>
      </c>
      <c r="F32" s="7">
        <v>1.5947869187525501</v>
      </c>
      <c r="G32" s="7">
        <v>2.3489354403846399</v>
      </c>
      <c r="H32" s="7">
        <v>3.1244823711743699</v>
      </c>
      <c r="I32" s="7">
        <v>3.92811951368164</v>
      </c>
      <c r="J32" s="7">
        <v>4.7665638748546302</v>
      </c>
      <c r="K32" s="7">
        <v>5.6455099927795604</v>
      </c>
      <c r="L32" s="7">
        <v>6.57425472490457</v>
      </c>
      <c r="M32" s="7">
        <v>7.56120242109239</v>
      </c>
      <c r="N32" s="7">
        <v>8.6149193399782806</v>
      </c>
      <c r="O32" s="7">
        <v>9.7438751602688694</v>
      </c>
      <c r="P32" s="7">
        <v>10.9532366410596</v>
      </c>
      <c r="Q32" s="7">
        <v>12.252314931888399</v>
      </c>
      <c r="R32" s="7">
        <v>13.647615309926501</v>
      </c>
      <c r="S32" s="7">
        <v>15.1446973407506</v>
      </c>
      <c r="T32" s="7">
        <v>16.7480385331747</v>
      </c>
      <c r="U32" s="7">
        <v>18.455382965988299</v>
      </c>
      <c r="V32" s="7">
        <v>20.2713413153818</v>
      </c>
      <c r="W32" s="7">
        <v>22.196203952428402</v>
      </c>
      <c r="X32" s="7">
        <v>24.229482627497799</v>
      </c>
      <c r="Y32" s="7">
        <v>26.369950428191</v>
      </c>
      <c r="Z32" s="7">
        <v>28.6075234985347</v>
      </c>
      <c r="AA32" s="7">
        <v>30.943660856305002</v>
      </c>
      <c r="AB32" s="7">
        <v>33.375504688964298</v>
      </c>
      <c r="AC32" s="7">
        <v>35.9003669647416</v>
      </c>
      <c r="AD32" s="7">
        <v>38.515736177466202</v>
      </c>
      <c r="AE32" s="7">
        <v>41.1906080050735</v>
      </c>
      <c r="AF32" s="7">
        <v>43.936816457604102</v>
      </c>
      <c r="AG32" s="7">
        <v>46.752587863451197</v>
      </c>
      <c r="AH32" s="7">
        <v>49.636831119394103</v>
      </c>
      <c r="AI32" s="7">
        <v>52.5884533526404</v>
      </c>
      <c r="AJ32" s="7">
        <v>55.606986909475097</v>
      </c>
      <c r="AK32" s="7">
        <v>58.692688874205302</v>
      </c>
      <c r="AL32" s="7">
        <v>61.846092791499601</v>
      </c>
      <c r="AM32" s="7">
        <v>65.068334880539695</v>
      </c>
    </row>
    <row r="33" spans="1:77" x14ac:dyDescent="0.2">
      <c r="A33" s="12"/>
      <c r="B33" s="4" t="s">
        <v>125</v>
      </c>
      <c r="C33" s="7">
        <v>204.83624376330101</v>
      </c>
      <c r="D33" s="7">
        <v>202.01262229376701</v>
      </c>
      <c r="E33" s="7">
        <v>197.622223215752</v>
      </c>
      <c r="F33" s="7">
        <v>86.003470431586607</v>
      </c>
      <c r="G33" s="7">
        <v>69.385628661392403</v>
      </c>
      <c r="H33" s="7">
        <v>68.167040177361002</v>
      </c>
      <c r="I33" s="7">
        <v>67.581726521747996</v>
      </c>
      <c r="J33" s="7">
        <v>67.066274545539002</v>
      </c>
      <c r="K33" s="7">
        <v>66.593020190332396</v>
      </c>
      <c r="L33" s="7">
        <v>66.183950046577095</v>
      </c>
      <c r="M33" s="7">
        <v>65.839989489816404</v>
      </c>
      <c r="N33" s="7">
        <v>65.555496758262805</v>
      </c>
      <c r="O33" s="7">
        <v>65.336503008094496</v>
      </c>
      <c r="P33" s="7">
        <v>65.174405786243398</v>
      </c>
      <c r="Q33" s="7">
        <v>65.084140086318897</v>
      </c>
      <c r="R33" s="7">
        <v>65.066794750316205</v>
      </c>
      <c r="S33" s="7">
        <v>65.118617171233197</v>
      </c>
      <c r="T33" s="7">
        <v>65.231029842730607</v>
      </c>
      <c r="U33" s="7">
        <v>65.360987861815801</v>
      </c>
      <c r="V33" s="7">
        <v>65.510777298580905</v>
      </c>
      <c r="W33" s="7">
        <v>65.6688712337114</v>
      </c>
      <c r="X33" s="7">
        <v>65.837129254620905</v>
      </c>
      <c r="Y33" s="7">
        <v>66.017503573563303</v>
      </c>
      <c r="Z33" s="7">
        <v>66.202117491637296</v>
      </c>
      <c r="AA33" s="7">
        <v>66.393169907817295</v>
      </c>
      <c r="AB33" s="7">
        <v>66.597498685397497</v>
      </c>
      <c r="AC33" s="7">
        <v>66.823930093762399</v>
      </c>
      <c r="AD33" s="7">
        <v>67.077232563432602</v>
      </c>
      <c r="AE33" s="7">
        <v>68.856598447916099</v>
      </c>
      <c r="AF33" s="7">
        <v>70.655682737879502</v>
      </c>
      <c r="AG33" s="7">
        <v>72.460851197333696</v>
      </c>
      <c r="AH33" s="7">
        <v>74.271929722420595</v>
      </c>
      <c r="AI33" s="7">
        <v>76.076021867451601</v>
      </c>
      <c r="AJ33" s="7">
        <v>77.874146083205304</v>
      </c>
      <c r="AK33" s="7">
        <v>79.674439024082403</v>
      </c>
      <c r="AL33" s="7">
        <v>81.477552346645695</v>
      </c>
      <c r="AM33" s="7">
        <v>83.2913213159582</v>
      </c>
    </row>
    <row r="34" spans="1:77" x14ac:dyDescent="0.2">
      <c r="A34" s="12"/>
      <c r="B34" s="4" t="s">
        <v>137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37.436613225352502</v>
      </c>
      <c r="J34" s="7">
        <v>74.388636633166101</v>
      </c>
      <c r="K34" s="7">
        <v>110.901155786489</v>
      </c>
      <c r="L34" s="7">
        <v>147.017305786912</v>
      </c>
      <c r="M34" s="7">
        <v>182.77832198927999</v>
      </c>
      <c r="N34" s="7">
        <v>218.223578960276</v>
      </c>
      <c r="O34" s="7">
        <v>253.390616190462</v>
      </c>
      <c r="P34" s="7">
        <v>288.31515139878201</v>
      </c>
      <c r="Q34" s="7">
        <v>323.031080703226</v>
      </c>
      <c r="R34" s="7">
        <v>357.57046428957102</v>
      </c>
      <c r="S34" s="7">
        <v>391.93951663898503</v>
      </c>
      <c r="T34" s="7">
        <v>426.11007360365801</v>
      </c>
      <c r="U34" s="7">
        <v>459.89296433447902</v>
      </c>
      <c r="V34" s="7">
        <v>493.21852449538102</v>
      </c>
      <c r="W34" s="7">
        <v>525.97710924220701</v>
      </c>
      <c r="X34" s="7">
        <v>558.128664233108</v>
      </c>
      <c r="Y34" s="7">
        <v>589.63596488956705</v>
      </c>
      <c r="Z34" s="7">
        <v>620.41418938859499</v>
      </c>
      <c r="AA34" s="7">
        <v>650.40503856801604</v>
      </c>
      <c r="AB34" s="7">
        <v>679.603779700568</v>
      </c>
      <c r="AC34" s="7">
        <v>708.025044676417</v>
      </c>
      <c r="AD34" s="7">
        <v>735.65945048854496</v>
      </c>
      <c r="AE34" s="7">
        <v>775.76562408635698</v>
      </c>
      <c r="AF34" s="7">
        <v>816.34293008962595</v>
      </c>
      <c r="AG34" s="7">
        <v>857.27083954768295</v>
      </c>
      <c r="AH34" s="7">
        <v>898.52469137130697</v>
      </c>
      <c r="AI34" s="7">
        <v>939.97674480328396</v>
      </c>
      <c r="AJ34" s="7">
        <v>981.60544428706601</v>
      </c>
      <c r="AK34" s="7">
        <v>1023.45068016465</v>
      </c>
      <c r="AL34" s="7">
        <v>1065.4936514649501</v>
      </c>
      <c r="AM34" s="7">
        <v>1107.7792805935201</v>
      </c>
    </row>
    <row r="35" spans="1:77" x14ac:dyDescent="0.2">
      <c r="A35" s="12"/>
      <c r="B35" s="4" t="s">
        <v>138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</row>
    <row r="36" spans="1:77" x14ac:dyDescent="0.2">
      <c r="A36" s="12"/>
      <c r="B36" s="4" t="s">
        <v>127</v>
      </c>
      <c r="C36" s="7">
        <v>223.90245882797299</v>
      </c>
      <c r="D36" s="7">
        <v>222.43414824850299</v>
      </c>
      <c r="E36" s="7">
        <v>120.572740913239</v>
      </c>
      <c r="F36" s="7">
        <v>114.805833393649</v>
      </c>
      <c r="G36" s="7">
        <v>114.805833393649</v>
      </c>
      <c r="H36" s="7">
        <v>114.805833393649</v>
      </c>
      <c r="I36" s="7">
        <v>114.805833393649</v>
      </c>
      <c r="J36" s="7">
        <v>114.805833393649</v>
      </c>
      <c r="K36" s="7">
        <v>114.805833393649</v>
      </c>
      <c r="L36" s="7">
        <v>114.805833393649</v>
      </c>
      <c r="M36" s="7">
        <v>114.805833393649</v>
      </c>
      <c r="N36" s="7">
        <v>114.805833393649</v>
      </c>
      <c r="O36" s="7">
        <v>114.805833393649</v>
      </c>
      <c r="P36" s="7">
        <v>114.805833393649</v>
      </c>
      <c r="Q36" s="7">
        <v>114.805833393649</v>
      </c>
      <c r="R36" s="7">
        <v>114.805833393649</v>
      </c>
      <c r="S36" s="7">
        <v>114.805833393649</v>
      </c>
      <c r="T36" s="7">
        <v>114.805833393649</v>
      </c>
      <c r="U36" s="7">
        <v>114.805833393649</v>
      </c>
      <c r="V36" s="7">
        <v>114.805833393649</v>
      </c>
      <c r="W36" s="7">
        <v>114.805833393649</v>
      </c>
      <c r="X36" s="7">
        <v>114.805833393649</v>
      </c>
      <c r="Y36" s="7">
        <v>101.748318076148</v>
      </c>
      <c r="Z36" s="7">
        <v>101.748318076148</v>
      </c>
      <c r="AA36" s="7">
        <v>101.748318076148</v>
      </c>
      <c r="AB36" s="7">
        <v>101.748318076148</v>
      </c>
      <c r="AC36" s="7">
        <v>101.748318076148</v>
      </c>
      <c r="AD36" s="7">
        <v>101.748318076148</v>
      </c>
      <c r="AE36" s="7">
        <v>101.748318076148</v>
      </c>
      <c r="AF36" s="7">
        <v>101.748318076148</v>
      </c>
      <c r="AG36" s="7">
        <v>101.748318076148</v>
      </c>
      <c r="AH36" s="7">
        <v>101.748318076148</v>
      </c>
      <c r="AI36" s="7">
        <v>101.748318076148</v>
      </c>
      <c r="AJ36" s="7">
        <v>101.748318076148</v>
      </c>
      <c r="AK36" s="7">
        <v>101.748318076148</v>
      </c>
      <c r="AL36" s="7">
        <v>101.748318076148</v>
      </c>
      <c r="AM36" s="7">
        <v>101.748318076148</v>
      </c>
    </row>
    <row r="37" spans="1:77" ht="15" customHeight="1" x14ac:dyDescent="0.2">
      <c r="A37" s="12"/>
      <c r="B37" s="4" t="s">
        <v>121</v>
      </c>
      <c r="C37" s="7">
        <v>814.12869378820301</v>
      </c>
      <c r="D37" s="7">
        <v>631.00828593783297</v>
      </c>
      <c r="E37" s="7">
        <v>632.97299061853005</v>
      </c>
      <c r="F37" s="7">
        <v>633.61820979783795</v>
      </c>
      <c r="G37" s="7">
        <v>634.55051138954002</v>
      </c>
      <c r="H37" s="7">
        <v>635.56038739427299</v>
      </c>
      <c r="I37" s="7">
        <v>638.993307371127</v>
      </c>
      <c r="J37" s="7">
        <v>642.72418969815897</v>
      </c>
      <c r="K37" s="7">
        <v>646.65572268061601</v>
      </c>
      <c r="L37" s="7">
        <v>650.89148680011704</v>
      </c>
      <c r="M37" s="7">
        <v>655.45244557869898</v>
      </c>
      <c r="N37" s="7">
        <v>660.33155579944605</v>
      </c>
      <c r="O37" s="7">
        <v>665.57297490583505</v>
      </c>
      <c r="P37" s="7">
        <v>671.15639229077897</v>
      </c>
      <c r="Q37" s="7">
        <v>677.16961685676904</v>
      </c>
      <c r="R37" s="7">
        <v>587.12254875960798</v>
      </c>
      <c r="S37" s="7">
        <v>594.05655630355295</v>
      </c>
      <c r="T37" s="7">
        <v>445.915541090256</v>
      </c>
      <c r="U37" s="7">
        <v>456.304670543388</v>
      </c>
      <c r="V37" s="7">
        <v>467.05491990683998</v>
      </c>
      <c r="W37" s="7">
        <v>478.09504032681502</v>
      </c>
      <c r="X37" s="7">
        <v>489.446569623465</v>
      </c>
      <c r="Y37" s="7">
        <v>501.13308001023802</v>
      </c>
      <c r="Z37" s="7">
        <v>513.16558546187605</v>
      </c>
      <c r="AA37" s="7">
        <v>525.53386059323498</v>
      </c>
      <c r="AB37" s="7">
        <v>538.26047817100005</v>
      </c>
      <c r="AC37" s="7">
        <v>551.27323645295905</v>
      </c>
      <c r="AD37" s="7">
        <v>564.74364680710005</v>
      </c>
      <c r="AE37" s="7">
        <v>579.72467002771498</v>
      </c>
      <c r="AF37" s="7">
        <v>594.87170850856501</v>
      </c>
      <c r="AG37" s="7">
        <v>611.10370230856995</v>
      </c>
      <c r="AH37" s="7">
        <v>634.55696447510797</v>
      </c>
      <c r="AI37" s="7">
        <v>652.08989426231699</v>
      </c>
      <c r="AJ37" s="7">
        <v>667.29178210682005</v>
      </c>
      <c r="AK37" s="7">
        <v>679.95341401672795</v>
      </c>
      <c r="AL37" s="7">
        <v>697.87745235645502</v>
      </c>
      <c r="AM37" s="7">
        <v>709.081180573545</v>
      </c>
    </row>
    <row r="38" spans="1:77" x14ac:dyDescent="0.2">
      <c r="A38" s="12"/>
      <c r="B38" s="4" t="s">
        <v>126</v>
      </c>
      <c r="C38" s="7">
        <v>925.72810593367296</v>
      </c>
      <c r="D38" s="7">
        <v>910.69299848525998</v>
      </c>
      <c r="E38" s="7">
        <v>890.98365806386698</v>
      </c>
      <c r="F38" s="7">
        <v>865.81293829133404</v>
      </c>
      <c r="G38" s="7">
        <v>846.73484628895903</v>
      </c>
      <c r="H38" s="7">
        <v>828.092498548923</v>
      </c>
      <c r="I38" s="7">
        <v>809.87594264191603</v>
      </c>
      <c r="J38" s="7">
        <v>792.07545343800405</v>
      </c>
      <c r="K38" s="7">
        <v>774.68152805552302</v>
      </c>
      <c r="L38" s="7">
        <v>757.684880304883</v>
      </c>
      <c r="M38" s="7">
        <v>741.07643664768204</v>
      </c>
      <c r="N38" s="7">
        <v>724.84733013539403</v>
      </c>
      <c r="O38" s="7">
        <v>708.17026941172196</v>
      </c>
      <c r="P38" s="7">
        <v>692.69274099181405</v>
      </c>
      <c r="Q38" s="7">
        <v>666.10437484661099</v>
      </c>
      <c r="R38" s="7">
        <v>651.58763288479895</v>
      </c>
      <c r="S38" s="7">
        <v>637.40245357007996</v>
      </c>
      <c r="T38" s="7">
        <v>678.26570438222598</v>
      </c>
      <c r="U38" s="7">
        <v>680.10351990896299</v>
      </c>
      <c r="V38" s="7">
        <v>685.94803726851501</v>
      </c>
      <c r="W38" s="7">
        <v>679.40795787198294</v>
      </c>
      <c r="X38" s="7">
        <v>673.25279589001298</v>
      </c>
      <c r="Y38" s="7">
        <v>669.83598935722898</v>
      </c>
      <c r="Z38" s="7">
        <v>663.96544377594705</v>
      </c>
      <c r="AA38" s="7">
        <v>658.00272667927402</v>
      </c>
      <c r="AB38" s="7">
        <v>651.99602664185397</v>
      </c>
      <c r="AC38" s="7">
        <v>646.233668461143</v>
      </c>
      <c r="AD38" s="7">
        <v>640.59567932745495</v>
      </c>
      <c r="AE38" s="7">
        <v>649.89629609241194</v>
      </c>
      <c r="AF38" s="7">
        <v>659.29775292330703</v>
      </c>
      <c r="AG38" s="7">
        <v>668.45963457884102</v>
      </c>
      <c r="AH38" s="7">
        <v>668.45963457884102</v>
      </c>
      <c r="AI38" s="7">
        <v>668.45963457884102</v>
      </c>
      <c r="AJ38" s="7">
        <v>668.45963457884102</v>
      </c>
      <c r="AK38" s="7">
        <v>668.45963457884102</v>
      </c>
      <c r="AL38" s="7">
        <v>668.45963457884102</v>
      </c>
      <c r="AM38" s="7">
        <v>668.45963457884102</v>
      </c>
    </row>
    <row r="39" spans="1:77" x14ac:dyDescent="0.2">
      <c r="A39" s="12"/>
      <c r="B39" s="4" t="s">
        <v>130</v>
      </c>
      <c r="C39" s="7">
        <v>111.453737883367</v>
      </c>
      <c r="D39" s="7">
        <v>119.899179651987</v>
      </c>
      <c r="E39" s="7">
        <v>118.04528265177601</v>
      </c>
      <c r="F39" s="7">
        <v>116.043177293382</v>
      </c>
      <c r="G39" s="7">
        <v>113.392747459365</v>
      </c>
      <c r="H39" s="7">
        <v>111.227098487346</v>
      </c>
      <c r="I39" s="7">
        <v>110.09588542419699</v>
      </c>
      <c r="J39" s="7">
        <v>112.455776840474</v>
      </c>
      <c r="K39" s="7">
        <v>114.958659294518</v>
      </c>
      <c r="L39" s="7">
        <v>117.048517815681</v>
      </c>
      <c r="M39" s="7">
        <v>120.38116767250899</v>
      </c>
      <c r="N39" s="7">
        <v>118.359906736976</v>
      </c>
      <c r="O39" s="7">
        <v>116.434802966913</v>
      </c>
      <c r="P39" s="7">
        <v>114.243359517765</v>
      </c>
      <c r="Q39" s="7">
        <v>111.63403757502201</v>
      </c>
      <c r="R39" s="7">
        <v>109.084312624148</v>
      </c>
      <c r="S39" s="7">
        <v>106.59282349086401</v>
      </c>
      <c r="T39" s="7">
        <v>104.158240031223</v>
      </c>
      <c r="U39" s="7">
        <v>104.150558985126</v>
      </c>
      <c r="V39" s="7">
        <v>104.169435139614</v>
      </c>
      <c r="W39" s="7">
        <v>104.19629177566399</v>
      </c>
      <c r="X39" s="7">
        <v>104.233898317401</v>
      </c>
      <c r="Y39" s="7">
        <v>104.285140357598</v>
      </c>
      <c r="Z39" s="7">
        <v>104.33737990599801</v>
      </c>
      <c r="AA39" s="7">
        <v>104.393932122907</v>
      </c>
      <c r="AB39" s="7">
        <v>104.46535371859299</v>
      </c>
      <c r="AC39" s="7">
        <v>104.565205263471</v>
      </c>
      <c r="AD39" s="7">
        <v>104.737756979031</v>
      </c>
      <c r="AE39" s="7">
        <v>107.55778679943499</v>
      </c>
      <c r="AF39" s="7">
        <v>110.409182321542</v>
      </c>
      <c r="AG39" s="7">
        <v>113.103837763149</v>
      </c>
      <c r="AH39" s="7">
        <v>115.93074261305</v>
      </c>
      <c r="AI39" s="7">
        <v>120.97063752986701</v>
      </c>
      <c r="AJ39" s="7">
        <v>126.82129863241801</v>
      </c>
      <c r="AK39" s="7">
        <v>132.886937205403</v>
      </c>
      <c r="AL39" s="7">
        <v>135.113827029807</v>
      </c>
      <c r="AM39" s="7">
        <v>140.173508920942</v>
      </c>
    </row>
    <row r="40" spans="1:77" x14ac:dyDescent="0.2">
      <c r="A40" s="12"/>
      <c r="B40" s="4" t="s">
        <v>124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</row>
    <row r="41" spans="1:77" x14ac:dyDescent="0.2">
      <c r="A41" s="12"/>
      <c r="B41" s="4" t="s">
        <v>132</v>
      </c>
      <c r="C41" s="7">
        <v>287.67333234313799</v>
      </c>
      <c r="D41" s="7">
        <v>352.09085595232301</v>
      </c>
      <c r="E41" s="7">
        <v>346.646780586435</v>
      </c>
      <c r="F41" s="7">
        <v>402.57651263033</v>
      </c>
      <c r="G41" s="7">
        <v>384.14564891130101</v>
      </c>
      <c r="H41" s="7">
        <v>415.26097449515498</v>
      </c>
      <c r="I41" s="7">
        <v>409.00064091021898</v>
      </c>
      <c r="J41" s="7">
        <v>394.50069313766102</v>
      </c>
      <c r="K41" s="7">
        <v>380.113705492799</v>
      </c>
      <c r="L41" s="7">
        <v>370.15708260951601</v>
      </c>
      <c r="M41" s="7">
        <v>355.51885037409198</v>
      </c>
      <c r="N41" s="7">
        <v>354.727582361381</v>
      </c>
      <c r="O41" s="7">
        <v>354.364235503207</v>
      </c>
      <c r="P41" s="7">
        <v>354.88943630150499</v>
      </c>
      <c r="Q41" s="7">
        <v>356.91528570942597</v>
      </c>
      <c r="R41" s="7">
        <v>359.99979403067101</v>
      </c>
      <c r="S41" s="7">
        <v>363.70584560006398</v>
      </c>
      <c r="T41" s="7">
        <v>372.43428858528199</v>
      </c>
      <c r="U41" s="7">
        <v>363.927877684338</v>
      </c>
      <c r="V41" s="7">
        <v>358.17739180949098</v>
      </c>
      <c r="W41" s="7">
        <v>359.405889257551</v>
      </c>
      <c r="X41" s="7">
        <v>360.30214230167502</v>
      </c>
      <c r="Y41" s="7">
        <v>375.36624294240801</v>
      </c>
      <c r="Z41" s="7">
        <v>375.41362388486101</v>
      </c>
      <c r="AA41" s="7">
        <v>375.56208083063399</v>
      </c>
      <c r="AB41" s="7">
        <v>375.91132924491001</v>
      </c>
      <c r="AC41" s="7">
        <v>376.36149268614798</v>
      </c>
      <c r="AD41" s="7">
        <v>376.98815687772998</v>
      </c>
      <c r="AE41" s="7">
        <v>387.769154514668</v>
      </c>
      <c r="AF41" s="7">
        <v>398.281354526803</v>
      </c>
      <c r="AG41" s="7">
        <v>407.87048502918498</v>
      </c>
      <c r="AH41" s="7">
        <v>419.36466997420899</v>
      </c>
      <c r="AI41" s="7">
        <v>434.19795106131397</v>
      </c>
      <c r="AJ41" s="7">
        <v>449.86786416538501</v>
      </c>
      <c r="AK41" s="7">
        <v>465.41172316466799</v>
      </c>
      <c r="AL41" s="7">
        <v>474.18921331486303</v>
      </c>
      <c r="AM41" s="7">
        <v>487.11346370438002</v>
      </c>
    </row>
    <row r="42" spans="1:77" x14ac:dyDescent="0.2">
      <c r="A42" s="12"/>
      <c r="B42" s="4" t="s">
        <v>129</v>
      </c>
      <c r="C42" s="7">
        <v>1772.6743159532</v>
      </c>
      <c r="D42" s="7">
        <v>2527.2184058615398</v>
      </c>
      <c r="E42" s="7">
        <v>2544.5595271020602</v>
      </c>
      <c r="F42" s="7">
        <v>2550.2544410120299</v>
      </c>
      <c r="G42" s="7">
        <v>2558.4832374786401</v>
      </c>
      <c r="H42" s="7">
        <v>2528.0960864078102</v>
      </c>
      <c r="I42" s="7">
        <v>2558.3961524240699</v>
      </c>
      <c r="J42" s="7">
        <v>2591.3261308594301</v>
      </c>
      <c r="K42" s="7">
        <v>2614.1801366203499</v>
      </c>
      <c r="L42" s="7">
        <v>2600.1641774155901</v>
      </c>
      <c r="M42" s="7">
        <v>2634.9133026536001</v>
      </c>
      <c r="N42" s="7">
        <v>2677.9779131852101</v>
      </c>
      <c r="O42" s="7">
        <v>2724.2403795442901</v>
      </c>
      <c r="P42" s="7">
        <v>2758.0518228454598</v>
      </c>
      <c r="Q42" s="7">
        <v>2811.12649471336</v>
      </c>
      <c r="R42" s="7">
        <v>2870.2214141357699</v>
      </c>
      <c r="S42" s="7">
        <v>2933.8495128540899</v>
      </c>
      <c r="T42" s="7">
        <v>3022.6262174027802</v>
      </c>
      <c r="U42" s="7">
        <v>3091.1938383348702</v>
      </c>
      <c r="V42" s="7">
        <v>3162.1213275395398</v>
      </c>
      <c r="W42" s="7">
        <v>3234.95425644652</v>
      </c>
      <c r="X42" s="7">
        <v>3309.8334957187999</v>
      </c>
      <c r="Y42" s="7">
        <v>3386.9127197214898</v>
      </c>
      <c r="Z42" s="7">
        <v>3465.8650417835302</v>
      </c>
      <c r="AA42" s="7">
        <v>3546.8439494920699</v>
      </c>
      <c r="AB42" s="7">
        <v>3630.25371465135</v>
      </c>
      <c r="AC42" s="7">
        <v>3716.6352853199</v>
      </c>
      <c r="AD42" s="7">
        <v>3806.3504679059101</v>
      </c>
      <c r="AE42" s="7">
        <v>3904.8203271618499</v>
      </c>
      <c r="AF42" s="7">
        <v>4004.4201459025198</v>
      </c>
      <c r="AG42" s="7">
        <v>4104.4061637343202</v>
      </c>
      <c r="AH42" s="7">
        <v>4204.7659923491201</v>
      </c>
      <c r="AI42" s="7">
        <v>4304.7948750966398</v>
      </c>
      <c r="AJ42" s="7">
        <v>4404.5448244665604</v>
      </c>
      <c r="AK42" s="7">
        <v>4505.0080826924996</v>
      </c>
      <c r="AL42" s="7">
        <v>4606.9609824136596</v>
      </c>
      <c r="AM42" s="7">
        <v>4709.5163811961502</v>
      </c>
    </row>
    <row r="43" spans="1:77" x14ac:dyDescent="0.2">
      <c r="A43" s="12"/>
      <c r="B43" s="4" t="s">
        <v>123</v>
      </c>
      <c r="C43" s="7">
        <v>3116.6736708426502</v>
      </c>
      <c r="D43" s="7">
        <v>2962.8961543927799</v>
      </c>
      <c r="E43" s="7">
        <v>3389.1000984082998</v>
      </c>
      <c r="F43" s="7">
        <v>3655.6167180149</v>
      </c>
      <c r="G43" s="7">
        <v>4039.85164318941</v>
      </c>
      <c r="H43" s="7">
        <v>4160.8189801564504</v>
      </c>
      <c r="I43" s="7">
        <v>3993.9563819098498</v>
      </c>
      <c r="J43" s="7">
        <v>3905.1211810525401</v>
      </c>
      <c r="K43" s="7">
        <v>3932.32947279059</v>
      </c>
      <c r="L43" s="7">
        <v>3955.3719656122298</v>
      </c>
      <c r="M43" s="7">
        <v>4050.0209448219498</v>
      </c>
      <c r="N43" s="7">
        <v>4157.8894571272103</v>
      </c>
      <c r="O43" s="7">
        <v>4327.1096217987697</v>
      </c>
      <c r="P43" s="7">
        <v>4441.5286821248701</v>
      </c>
      <c r="Q43" s="7">
        <v>4596.4988323457201</v>
      </c>
      <c r="R43" s="7">
        <v>4768.5385939847602</v>
      </c>
      <c r="S43" s="7">
        <v>4857.50587868204</v>
      </c>
      <c r="T43" s="7">
        <v>5012.2063769985198</v>
      </c>
      <c r="U43" s="7">
        <v>5170.8800708874096</v>
      </c>
      <c r="V43" s="7">
        <v>5335.5881068659501</v>
      </c>
      <c r="W43" s="7">
        <v>5505.5690055406603</v>
      </c>
      <c r="X43" s="7">
        <v>5681.16145332826</v>
      </c>
      <c r="Y43" s="7">
        <v>5862.7560011994201</v>
      </c>
      <c r="Z43" s="7">
        <v>6049.8401991335404</v>
      </c>
      <c r="AA43" s="7">
        <v>6242.7746285190997</v>
      </c>
      <c r="AB43" s="7">
        <v>6442.3957315241996</v>
      </c>
      <c r="AC43" s="7">
        <v>6649.82197009432</v>
      </c>
      <c r="AD43" s="7">
        <v>6865.8551791262298</v>
      </c>
      <c r="AE43" s="7">
        <v>7101.13694797268</v>
      </c>
      <c r="AF43" s="7">
        <v>7341.2200860677403</v>
      </c>
      <c r="AG43" s="7">
        <v>7584.6888008922397</v>
      </c>
      <c r="AH43" s="7">
        <v>7831.3283053792702</v>
      </c>
      <c r="AI43" s="7">
        <v>8080.2305079062598</v>
      </c>
      <c r="AJ43" s="7">
        <v>8331.3652321988702</v>
      </c>
      <c r="AK43" s="7">
        <v>8585.6043935761409</v>
      </c>
      <c r="AL43" s="7">
        <v>8842.7562167101405</v>
      </c>
      <c r="AM43" s="7">
        <v>9104.0964970090008</v>
      </c>
    </row>
    <row r="45" spans="1:77" x14ac:dyDescent="0.2">
      <c r="C45" s="10" t="s">
        <v>79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  <row r="46" spans="1:77" x14ac:dyDescent="0.2">
      <c r="C46" s="10" t="s">
        <v>78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</row>
    <row r="47" spans="1:77" x14ac:dyDescent="0.2">
      <c r="C47" s="11" t="s">
        <v>2</v>
      </c>
      <c r="D47" s="11" t="s">
        <v>3</v>
      </c>
      <c r="E47" s="11" t="s">
        <v>4</v>
      </c>
      <c r="F47" s="11" t="s">
        <v>5</v>
      </c>
      <c r="G47" s="11" t="s">
        <v>6</v>
      </c>
      <c r="H47" s="11" t="s">
        <v>7</v>
      </c>
      <c r="I47" s="11" t="s">
        <v>8</v>
      </c>
      <c r="J47" s="11" t="s">
        <v>9</v>
      </c>
      <c r="K47" s="11" t="s">
        <v>10</v>
      </c>
      <c r="L47" s="11" t="s">
        <v>11</v>
      </c>
      <c r="M47" s="11" t="s">
        <v>12</v>
      </c>
      <c r="N47" s="11" t="s">
        <v>13</v>
      </c>
      <c r="O47" s="11" t="s">
        <v>14</v>
      </c>
      <c r="P47" s="11" t="s">
        <v>15</v>
      </c>
      <c r="Q47" s="11" t="s">
        <v>16</v>
      </c>
      <c r="R47" s="11" t="s">
        <v>17</v>
      </c>
      <c r="S47" s="11" t="s">
        <v>18</v>
      </c>
      <c r="T47" s="11" t="s">
        <v>19</v>
      </c>
      <c r="U47" s="11" t="s">
        <v>20</v>
      </c>
      <c r="V47" s="11" t="s">
        <v>21</v>
      </c>
      <c r="W47" s="11" t="s">
        <v>22</v>
      </c>
      <c r="X47" s="11" t="s">
        <v>23</v>
      </c>
      <c r="Y47" s="11" t="s">
        <v>24</v>
      </c>
      <c r="Z47" s="11" t="s">
        <v>25</v>
      </c>
      <c r="AA47" s="11" t="s">
        <v>26</v>
      </c>
      <c r="AB47" s="11" t="s">
        <v>27</v>
      </c>
      <c r="AC47" s="11" t="s">
        <v>28</v>
      </c>
      <c r="AD47" s="11" t="s">
        <v>29</v>
      </c>
      <c r="AE47" s="11" t="s">
        <v>30</v>
      </c>
      <c r="AF47" s="11" t="s">
        <v>31</v>
      </c>
      <c r="AG47" s="11" t="s">
        <v>32</v>
      </c>
      <c r="AH47" s="11" t="s">
        <v>33</v>
      </c>
      <c r="AI47" s="11" t="s">
        <v>34</v>
      </c>
      <c r="AJ47" s="11" t="s">
        <v>35</v>
      </c>
      <c r="AK47" s="11" t="s">
        <v>36</v>
      </c>
      <c r="AL47" s="11" t="s">
        <v>37</v>
      </c>
      <c r="AM47" s="11" t="s">
        <v>38</v>
      </c>
      <c r="AO47" s="11" t="s">
        <v>2</v>
      </c>
      <c r="AP47" s="11" t="s">
        <v>3</v>
      </c>
      <c r="AQ47" s="11" t="s">
        <v>4</v>
      </c>
      <c r="AR47" s="11" t="s">
        <v>5</v>
      </c>
      <c r="AS47" s="11" t="s">
        <v>6</v>
      </c>
      <c r="AT47" s="11" t="s">
        <v>7</v>
      </c>
      <c r="AU47" s="11" t="s">
        <v>8</v>
      </c>
      <c r="AV47" s="11" t="s">
        <v>9</v>
      </c>
      <c r="AW47" s="11" t="s">
        <v>10</v>
      </c>
      <c r="AX47" s="11" t="s">
        <v>11</v>
      </c>
      <c r="AY47" s="11" t="s">
        <v>12</v>
      </c>
      <c r="AZ47" s="11" t="s">
        <v>13</v>
      </c>
      <c r="BA47" s="11" t="s">
        <v>14</v>
      </c>
      <c r="BB47" s="11" t="s">
        <v>15</v>
      </c>
      <c r="BC47" s="11" t="s">
        <v>16</v>
      </c>
      <c r="BD47" s="11" t="s">
        <v>17</v>
      </c>
      <c r="BE47" s="11" t="s">
        <v>18</v>
      </c>
      <c r="BF47" s="11" t="s">
        <v>19</v>
      </c>
      <c r="BG47" s="11" t="s">
        <v>20</v>
      </c>
      <c r="BH47" s="11" t="s">
        <v>21</v>
      </c>
      <c r="BI47" s="11" t="s">
        <v>22</v>
      </c>
      <c r="BJ47" s="11" t="s">
        <v>23</v>
      </c>
      <c r="BK47" s="11" t="s">
        <v>24</v>
      </c>
      <c r="BL47" s="11" t="s">
        <v>25</v>
      </c>
      <c r="BM47" s="11" t="s">
        <v>26</v>
      </c>
      <c r="BN47" s="11" t="s">
        <v>27</v>
      </c>
      <c r="BO47" s="11" t="s">
        <v>28</v>
      </c>
      <c r="BP47" s="11" t="s">
        <v>29</v>
      </c>
      <c r="BQ47" s="11" t="s">
        <v>30</v>
      </c>
      <c r="BR47" s="11" t="s">
        <v>31</v>
      </c>
      <c r="BS47" s="11" t="s">
        <v>32</v>
      </c>
      <c r="BT47" s="11" t="s">
        <v>33</v>
      </c>
      <c r="BU47" s="11" t="s">
        <v>34</v>
      </c>
      <c r="BV47" s="11" t="s">
        <v>35</v>
      </c>
      <c r="BW47" s="11" t="s">
        <v>36</v>
      </c>
      <c r="BX47" s="11" t="s">
        <v>37</v>
      </c>
      <c r="BY47" s="11" t="s">
        <v>38</v>
      </c>
    </row>
    <row r="48" spans="1:77" x14ac:dyDescent="0.2">
      <c r="A48" s="12" t="s">
        <v>0</v>
      </c>
      <c r="B48" s="4" t="s">
        <v>133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O48" s="9">
        <f>+C48-C4</f>
        <v>0</v>
      </c>
      <c r="AP48" s="7">
        <f t="shared" ref="AP48:BY48" si="0">+D48-D4</f>
        <v>0</v>
      </c>
      <c r="AQ48" s="7">
        <f t="shared" si="0"/>
        <v>0</v>
      </c>
      <c r="AR48" s="7">
        <f t="shared" si="0"/>
        <v>0</v>
      </c>
      <c r="AS48" s="7">
        <f t="shared" si="0"/>
        <v>0</v>
      </c>
      <c r="AT48" s="7">
        <f t="shared" si="0"/>
        <v>0</v>
      </c>
      <c r="AU48" s="7">
        <f t="shared" si="0"/>
        <v>0</v>
      </c>
      <c r="AV48" s="7">
        <f t="shared" si="0"/>
        <v>0</v>
      </c>
      <c r="AW48" s="7">
        <f t="shared" si="0"/>
        <v>0</v>
      </c>
      <c r="AX48" s="7">
        <f t="shared" si="0"/>
        <v>0</v>
      </c>
      <c r="AY48" s="7">
        <f t="shared" si="0"/>
        <v>0</v>
      </c>
      <c r="AZ48" s="7">
        <f t="shared" si="0"/>
        <v>0</v>
      </c>
      <c r="BA48" s="7">
        <f t="shared" si="0"/>
        <v>0</v>
      </c>
      <c r="BB48" s="7">
        <f t="shared" si="0"/>
        <v>0</v>
      </c>
      <c r="BC48" s="7">
        <f t="shared" si="0"/>
        <v>0</v>
      </c>
      <c r="BD48" s="7">
        <f t="shared" si="0"/>
        <v>0</v>
      </c>
      <c r="BE48" s="7">
        <f t="shared" si="0"/>
        <v>0</v>
      </c>
      <c r="BF48" s="7">
        <f t="shared" si="0"/>
        <v>0</v>
      </c>
      <c r="BG48" s="7">
        <f t="shared" si="0"/>
        <v>0</v>
      </c>
      <c r="BH48" s="7">
        <f t="shared" si="0"/>
        <v>0</v>
      </c>
      <c r="BI48" s="7">
        <f t="shared" si="0"/>
        <v>0</v>
      </c>
      <c r="BJ48" s="7">
        <f t="shared" si="0"/>
        <v>0</v>
      </c>
      <c r="BK48" s="7">
        <f t="shared" si="0"/>
        <v>0</v>
      </c>
      <c r="BL48" s="7">
        <f t="shared" si="0"/>
        <v>0</v>
      </c>
      <c r="BM48" s="7">
        <f t="shared" si="0"/>
        <v>0</v>
      </c>
      <c r="BN48" s="7">
        <f t="shared" si="0"/>
        <v>0</v>
      </c>
      <c r="BO48" s="7">
        <f t="shared" si="0"/>
        <v>0</v>
      </c>
      <c r="BP48" s="7">
        <f t="shared" si="0"/>
        <v>0</v>
      </c>
      <c r="BQ48" s="7">
        <f t="shared" si="0"/>
        <v>0</v>
      </c>
      <c r="BR48" s="7">
        <f t="shared" si="0"/>
        <v>0</v>
      </c>
      <c r="BS48" s="7">
        <f t="shared" si="0"/>
        <v>0</v>
      </c>
      <c r="BT48" s="7">
        <f t="shared" si="0"/>
        <v>0</v>
      </c>
      <c r="BU48" s="7">
        <f t="shared" si="0"/>
        <v>0</v>
      </c>
      <c r="BV48" s="7">
        <f t="shared" si="0"/>
        <v>0</v>
      </c>
      <c r="BW48" s="7">
        <f t="shared" si="0"/>
        <v>0</v>
      </c>
      <c r="BX48" s="7">
        <f t="shared" si="0"/>
        <v>0</v>
      </c>
      <c r="BY48" s="7">
        <f t="shared" si="0"/>
        <v>0</v>
      </c>
    </row>
    <row r="49" spans="1:77" x14ac:dyDescent="0.2">
      <c r="A49" s="12"/>
      <c r="B49" s="4" t="s">
        <v>134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O49" s="9">
        <f t="shared" ref="AO49:BY49" si="1">+C49-C5</f>
        <v>0</v>
      </c>
      <c r="AP49" s="7">
        <f t="shared" si="1"/>
        <v>0</v>
      </c>
      <c r="AQ49" s="7">
        <f t="shared" si="1"/>
        <v>0</v>
      </c>
      <c r="AR49" s="7">
        <f t="shared" si="1"/>
        <v>0</v>
      </c>
      <c r="AS49" s="7">
        <f t="shared" si="1"/>
        <v>0</v>
      </c>
      <c r="AT49" s="7">
        <f t="shared" si="1"/>
        <v>0</v>
      </c>
      <c r="AU49" s="7">
        <f t="shared" si="1"/>
        <v>0</v>
      </c>
      <c r="AV49" s="7">
        <f t="shared" si="1"/>
        <v>0</v>
      </c>
      <c r="AW49" s="7">
        <f t="shared" si="1"/>
        <v>0</v>
      </c>
      <c r="AX49" s="7">
        <f t="shared" si="1"/>
        <v>0</v>
      </c>
      <c r="AY49" s="7">
        <f t="shared" si="1"/>
        <v>0</v>
      </c>
      <c r="AZ49" s="7">
        <f t="shared" si="1"/>
        <v>0</v>
      </c>
      <c r="BA49" s="7">
        <f t="shared" si="1"/>
        <v>0</v>
      </c>
      <c r="BB49" s="7">
        <f t="shared" si="1"/>
        <v>0</v>
      </c>
      <c r="BC49" s="7">
        <f t="shared" si="1"/>
        <v>0</v>
      </c>
      <c r="BD49" s="7">
        <f t="shared" si="1"/>
        <v>0</v>
      </c>
      <c r="BE49" s="7">
        <f t="shared" si="1"/>
        <v>0</v>
      </c>
      <c r="BF49" s="7">
        <f t="shared" si="1"/>
        <v>0</v>
      </c>
      <c r="BG49" s="7">
        <f t="shared" si="1"/>
        <v>0</v>
      </c>
      <c r="BH49" s="7">
        <f t="shared" si="1"/>
        <v>0</v>
      </c>
      <c r="BI49" s="7">
        <f t="shared" si="1"/>
        <v>0</v>
      </c>
      <c r="BJ49" s="7">
        <f t="shared" si="1"/>
        <v>0</v>
      </c>
      <c r="BK49" s="7">
        <f t="shared" si="1"/>
        <v>0</v>
      </c>
      <c r="BL49" s="7">
        <f t="shared" si="1"/>
        <v>0</v>
      </c>
      <c r="BM49" s="7">
        <f t="shared" si="1"/>
        <v>0</v>
      </c>
      <c r="BN49" s="7">
        <f t="shared" si="1"/>
        <v>0</v>
      </c>
      <c r="BO49" s="7">
        <f t="shared" si="1"/>
        <v>0</v>
      </c>
      <c r="BP49" s="7">
        <f t="shared" si="1"/>
        <v>0</v>
      </c>
      <c r="BQ49" s="7">
        <f t="shared" si="1"/>
        <v>0</v>
      </c>
      <c r="BR49" s="7">
        <f t="shared" si="1"/>
        <v>0</v>
      </c>
      <c r="BS49" s="7">
        <f t="shared" si="1"/>
        <v>0</v>
      </c>
      <c r="BT49" s="7">
        <f t="shared" si="1"/>
        <v>0</v>
      </c>
      <c r="BU49" s="7">
        <f t="shared" si="1"/>
        <v>0</v>
      </c>
      <c r="BV49" s="7">
        <f t="shared" si="1"/>
        <v>0</v>
      </c>
      <c r="BW49" s="7">
        <f t="shared" si="1"/>
        <v>0</v>
      </c>
      <c r="BX49" s="7">
        <f t="shared" si="1"/>
        <v>0</v>
      </c>
      <c r="BY49" s="7">
        <f t="shared" si="1"/>
        <v>0</v>
      </c>
    </row>
    <row r="50" spans="1:77" s="8" customFormat="1" x14ac:dyDescent="0.2">
      <c r="A50" s="12"/>
      <c r="B50" s="4" t="s">
        <v>135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O50" s="9">
        <f t="shared" ref="AO50:BY50" si="2">+C50-C6</f>
        <v>0</v>
      </c>
      <c r="AP50" s="7">
        <f t="shared" si="2"/>
        <v>0</v>
      </c>
      <c r="AQ50" s="7">
        <f t="shared" si="2"/>
        <v>0</v>
      </c>
      <c r="AR50" s="7">
        <f t="shared" si="2"/>
        <v>0</v>
      </c>
      <c r="AS50" s="7">
        <f t="shared" si="2"/>
        <v>0</v>
      </c>
      <c r="AT50" s="7">
        <f t="shared" si="2"/>
        <v>0</v>
      </c>
      <c r="AU50" s="7">
        <f t="shared" si="2"/>
        <v>0</v>
      </c>
      <c r="AV50" s="7">
        <f t="shared" si="2"/>
        <v>0</v>
      </c>
      <c r="AW50" s="7">
        <f t="shared" si="2"/>
        <v>0</v>
      </c>
      <c r="AX50" s="7">
        <f t="shared" si="2"/>
        <v>0</v>
      </c>
      <c r="AY50" s="7">
        <f t="shared" si="2"/>
        <v>0</v>
      </c>
      <c r="AZ50" s="7">
        <f t="shared" si="2"/>
        <v>0</v>
      </c>
      <c r="BA50" s="7">
        <f t="shared" si="2"/>
        <v>0</v>
      </c>
      <c r="BB50" s="7">
        <f t="shared" si="2"/>
        <v>0</v>
      </c>
      <c r="BC50" s="7">
        <f t="shared" si="2"/>
        <v>0</v>
      </c>
      <c r="BD50" s="7">
        <f t="shared" si="2"/>
        <v>0</v>
      </c>
      <c r="BE50" s="7">
        <f t="shared" si="2"/>
        <v>0</v>
      </c>
      <c r="BF50" s="7">
        <f t="shared" si="2"/>
        <v>0</v>
      </c>
      <c r="BG50" s="7">
        <f t="shared" si="2"/>
        <v>0</v>
      </c>
      <c r="BH50" s="7">
        <f t="shared" si="2"/>
        <v>0</v>
      </c>
      <c r="BI50" s="7">
        <f t="shared" si="2"/>
        <v>0</v>
      </c>
      <c r="BJ50" s="7">
        <f t="shared" si="2"/>
        <v>0</v>
      </c>
      <c r="BK50" s="7">
        <f t="shared" si="2"/>
        <v>0</v>
      </c>
      <c r="BL50" s="7">
        <f t="shared" si="2"/>
        <v>0</v>
      </c>
      <c r="BM50" s="7">
        <f t="shared" si="2"/>
        <v>0</v>
      </c>
      <c r="BN50" s="7">
        <f t="shared" si="2"/>
        <v>0</v>
      </c>
      <c r="BO50" s="7">
        <f t="shared" si="2"/>
        <v>0</v>
      </c>
      <c r="BP50" s="7">
        <f t="shared" si="2"/>
        <v>0</v>
      </c>
      <c r="BQ50" s="7">
        <f t="shared" si="2"/>
        <v>0</v>
      </c>
      <c r="BR50" s="7">
        <f t="shared" si="2"/>
        <v>0</v>
      </c>
      <c r="BS50" s="7">
        <f t="shared" si="2"/>
        <v>0</v>
      </c>
      <c r="BT50" s="7">
        <f t="shared" si="2"/>
        <v>0</v>
      </c>
      <c r="BU50" s="7">
        <f t="shared" si="2"/>
        <v>0</v>
      </c>
      <c r="BV50" s="7">
        <f t="shared" si="2"/>
        <v>0</v>
      </c>
      <c r="BW50" s="7">
        <f t="shared" si="2"/>
        <v>0</v>
      </c>
      <c r="BX50" s="7">
        <f t="shared" si="2"/>
        <v>0</v>
      </c>
      <c r="BY50" s="7">
        <f t="shared" si="2"/>
        <v>0</v>
      </c>
    </row>
    <row r="51" spans="1:77" s="8" customFormat="1" x14ac:dyDescent="0.2">
      <c r="A51" s="12"/>
      <c r="B51" s="4" t="s">
        <v>136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O51" s="9">
        <f t="shared" ref="AO51:BY51" si="3">+C51-C7</f>
        <v>0</v>
      </c>
      <c r="AP51" s="7">
        <f t="shared" si="3"/>
        <v>0</v>
      </c>
      <c r="AQ51" s="7">
        <f t="shared" si="3"/>
        <v>0</v>
      </c>
      <c r="AR51" s="7">
        <f t="shared" si="3"/>
        <v>0</v>
      </c>
      <c r="AS51" s="7">
        <f t="shared" si="3"/>
        <v>0</v>
      </c>
      <c r="AT51" s="7">
        <f t="shared" si="3"/>
        <v>0</v>
      </c>
      <c r="AU51" s="7">
        <f t="shared" si="3"/>
        <v>0</v>
      </c>
      <c r="AV51" s="7">
        <f t="shared" si="3"/>
        <v>0</v>
      </c>
      <c r="AW51" s="7">
        <f t="shared" si="3"/>
        <v>0</v>
      </c>
      <c r="AX51" s="7">
        <f t="shared" si="3"/>
        <v>0</v>
      </c>
      <c r="AY51" s="7">
        <f t="shared" si="3"/>
        <v>0</v>
      </c>
      <c r="AZ51" s="7">
        <f t="shared" si="3"/>
        <v>0</v>
      </c>
      <c r="BA51" s="7">
        <f t="shared" si="3"/>
        <v>0</v>
      </c>
      <c r="BB51" s="7">
        <f t="shared" si="3"/>
        <v>0</v>
      </c>
      <c r="BC51" s="7">
        <f t="shared" si="3"/>
        <v>0</v>
      </c>
      <c r="BD51" s="7">
        <f t="shared" si="3"/>
        <v>0</v>
      </c>
      <c r="BE51" s="7">
        <f t="shared" si="3"/>
        <v>0</v>
      </c>
      <c r="BF51" s="7">
        <f t="shared" si="3"/>
        <v>0</v>
      </c>
      <c r="BG51" s="7">
        <f t="shared" si="3"/>
        <v>0</v>
      </c>
      <c r="BH51" s="7">
        <f t="shared" si="3"/>
        <v>0</v>
      </c>
      <c r="BI51" s="7">
        <f t="shared" si="3"/>
        <v>0</v>
      </c>
      <c r="BJ51" s="7">
        <f t="shared" si="3"/>
        <v>0</v>
      </c>
      <c r="BK51" s="7">
        <f t="shared" si="3"/>
        <v>0</v>
      </c>
      <c r="BL51" s="7">
        <f t="shared" si="3"/>
        <v>0</v>
      </c>
      <c r="BM51" s="7">
        <f t="shared" si="3"/>
        <v>0</v>
      </c>
      <c r="BN51" s="7">
        <f t="shared" si="3"/>
        <v>0</v>
      </c>
      <c r="BO51" s="7">
        <f t="shared" si="3"/>
        <v>0</v>
      </c>
      <c r="BP51" s="7">
        <f t="shared" si="3"/>
        <v>0</v>
      </c>
      <c r="BQ51" s="7">
        <f t="shared" si="3"/>
        <v>0</v>
      </c>
      <c r="BR51" s="7">
        <f t="shared" si="3"/>
        <v>0</v>
      </c>
      <c r="BS51" s="7">
        <f t="shared" si="3"/>
        <v>0</v>
      </c>
      <c r="BT51" s="7">
        <f t="shared" si="3"/>
        <v>0</v>
      </c>
      <c r="BU51" s="7">
        <f t="shared" si="3"/>
        <v>0</v>
      </c>
      <c r="BV51" s="7">
        <f t="shared" si="3"/>
        <v>0</v>
      </c>
      <c r="BW51" s="7">
        <f t="shared" si="3"/>
        <v>0</v>
      </c>
      <c r="BX51" s="7">
        <f t="shared" si="3"/>
        <v>0</v>
      </c>
      <c r="BY51" s="7">
        <f t="shared" si="3"/>
        <v>0</v>
      </c>
    </row>
    <row r="52" spans="1:77" ht="15" customHeight="1" x14ac:dyDescent="0.2">
      <c r="A52" s="12"/>
      <c r="B52" s="4" t="s">
        <v>122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O52" s="9">
        <f t="shared" ref="AO52:BY52" si="4">+C52-C8</f>
        <v>0</v>
      </c>
      <c r="AP52" s="7">
        <f t="shared" si="4"/>
        <v>0</v>
      </c>
      <c r="AQ52" s="7">
        <f t="shared" si="4"/>
        <v>0</v>
      </c>
      <c r="AR52" s="7">
        <f t="shared" si="4"/>
        <v>0</v>
      </c>
      <c r="AS52" s="7">
        <f t="shared" si="4"/>
        <v>0</v>
      </c>
      <c r="AT52" s="7">
        <f t="shared" si="4"/>
        <v>0</v>
      </c>
      <c r="AU52" s="7">
        <f t="shared" si="4"/>
        <v>0</v>
      </c>
      <c r="AV52" s="7">
        <f t="shared" si="4"/>
        <v>0</v>
      </c>
      <c r="AW52" s="7">
        <f t="shared" si="4"/>
        <v>0</v>
      </c>
      <c r="AX52" s="7">
        <f t="shared" si="4"/>
        <v>0</v>
      </c>
      <c r="AY52" s="7">
        <f t="shared" si="4"/>
        <v>0</v>
      </c>
      <c r="AZ52" s="7">
        <f t="shared" si="4"/>
        <v>0</v>
      </c>
      <c r="BA52" s="7">
        <f t="shared" si="4"/>
        <v>0</v>
      </c>
      <c r="BB52" s="7">
        <f t="shared" si="4"/>
        <v>0</v>
      </c>
      <c r="BC52" s="7">
        <f t="shared" si="4"/>
        <v>0</v>
      </c>
      <c r="BD52" s="7">
        <f t="shared" si="4"/>
        <v>0</v>
      </c>
      <c r="BE52" s="7">
        <f t="shared" si="4"/>
        <v>0</v>
      </c>
      <c r="BF52" s="7">
        <f t="shared" si="4"/>
        <v>0</v>
      </c>
      <c r="BG52" s="7">
        <f t="shared" si="4"/>
        <v>0</v>
      </c>
      <c r="BH52" s="7">
        <f t="shared" si="4"/>
        <v>0</v>
      </c>
      <c r="BI52" s="7">
        <f t="shared" si="4"/>
        <v>0</v>
      </c>
      <c r="BJ52" s="7">
        <f t="shared" si="4"/>
        <v>0</v>
      </c>
      <c r="BK52" s="7">
        <f t="shared" si="4"/>
        <v>0</v>
      </c>
      <c r="BL52" s="7">
        <f t="shared" si="4"/>
        <v>0</v>
      </c>
      <c r="BM52" s="7">
        <f t="shared" si="4"/>
        <v>0</v>
      </c>
      <c r="BN52" s="7">
        <f t="shared" si="4"/>
        <v>0</v>
      </c>
      <c r="BO52" s="7">
        <f t="shared" si="4"/>
        <v>0</v>
      </c>
      <c r="BP52" s="7">
        <f t="shared" si="4"/>
        <v>0</v>
      </c>
      <c r="BQ52" s="7">
        <f t="shared" si="4"/>
        <v>0</v>
      </c>
      <c r="BR52" s="7">
        <f t="shared" si="4"/>
        <v>0</v>
      </c>
      <c r="BS52" s="7">
        <f t="shared" si="4"/>
        <v>0</v>
      </c>
      <c r="BT52" s="7">
        <f t="shared" si="4"/>
        <v>0</v>
      </c>
      <c r="BU52" s="7">
        <f t="shared" si="4"/>
        <v>0</v>
      </c>
      <c r="BV52" s="7">
        <f t="shared" si="4"/>
        <v>0</v>
      </c>
      <c r="BW52" s="7">
        <f t="shared" si="4"/>
        <v>0</v>
      </c>
      <c r="BX52" s="7">
        <f t="shared" si="4"/>
        <v>0</v>
      </c>
      <c r="BY52" s="7">
        <f t="shared" si="4"/>
        <v>0</v>
      </c>
    </row>
    <row r="53" spans="1:77" x14ac:dyDescent="0.2">
      <c r="A53" s="12"/>
      <c r="B53" s="4" t="s">
        <v>128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O53" s="9">
        <f t="shared" ref="AO53:BY53" si="5">+C53-C9</f>
        <v>0</v>
      </c>
      <c r="AP53" s="7">
        <f t="shared" si="5"/>
        <v>0</v>
      </c>
      <c r="AQ53" s="7">
        <f t="shared" si="5"/>
        <v>0</v>
      </c>
      <c r="AR53" s="7">
        <f t="shared" si="5"/>
        <v>0</v>
      </c>
      <c r="AS53" s="7">
        <f t="shared" si="5"/>
        <v>0</v>
      </c>
      <c r="AT53" s="7">
        <f t="shared" si="5"/>
        <v>0</v>
      </c>
      <c r="AU53" s="7">
        <f t="shared" si="5"/>
        <v>0</v>
      </c>
      <c r="AV53" s="7">
        <f t="shared" si="5"/>
        <v>0</v>
      </c>
      <c r="AW53" s="7">
        <f t="shared" si="5"/>
        <v>0</v>
      </c>
      <c r="AX53" s="7">
        <f t="shared" si="5"/>
        <v>0</v>
      </c>
      <c r="AY53" s="7">
        <f t="shared" si="5"/>
        <v>0</v>
      </c>
      <c r="AZ53" s="7">
        <f t="shared" si="5"/>
        <v>0</v>
      </c>
      <c r="BA53" s="7">
        <f t="shared" si="5"/>
        <v>0</v>
      </c>
      <c r="BB53" s="7">
        <f t="shared" si="5"/>
        <v>0</v>
      </c>
      <c r="BC53" s="7">
        <f t="shared" si="5"/>
        <v>0</v>
      </c>
      <c r="BD53" s="7">
        <f t="shared" si="5"/>
        <v>0</v>
      </c>
      <c r="BE53" s="7">
        <f t="shared" si="5"/>
        <v>0</v>
      </c>
      <c r="BF53" s="7">
        <f t="shared" si="5"/>
        <v>0</v>
      </c>
      <c r="BG53" s="7">
        <f t="shared" si="5"/>
        <v>0</v>
      </c>
      <c r="BH53" s="7">
        <f t="shared" si="5"/>
        <v>0</v>
      </c>
      <c r="BI53" s="7">
        <f t="shared" si="5"/>
        <v>0</v>
      </c>
      <c r="BJ53" s="7">
        <f t="shared" si="5"/>
        <v>0</v>
      </c>
      <c r="BK53" s="7">
        <f t="shared" si="5"/>
        <v>0</v>
      </c>
      <c r="BL53" s="7">
        <f t="shared" si="5"/>
        <v>0</v>
      </c>
      <c r="BM53" s="7">
        <f t="shared" si="5"/>
        <v>0</v>
      </c>
      <c r="BN53" s="7">
        <f t="shared" si="5"/>
        <v>0</v>
      </c>
      <c r="BO53" s="7">
        <f t="shared" si="5"/>
        <v>0</v>
      </c>
      <c r="BP53" s="7">
        <f t="shared" si="5"/>
        <v>0</v>
      </c>
      <c r="BQ53" s="7">
        <f t="shared" si="5"/>
        <v>0</v>
      </c>
      <c r="BR53" s="7">
        <f t="shared" si="5"/>
        <v>0</v>
      </c>
      <c r="BS53" s="7">
        <f t="shared" si="5"/>
        <v>0</v>
      </c>
      <c r="BT53" s="7">
        <f t="shared" si="5"/>
        <v>0</v>
      </c>
      <c r="BU53" s="7">
        <f t="shared" si="5"/>
        <v>0</v>
      </c>
      <c r="BV53" s="7">
        <f t="shared" si="5"/>
        <v>0</v>
      </c>
      <c r="BW53" s="7">
        <f t="shared" si="5"/>
        <v>0</v>
      </c>
      <c r="BX53" s="7">
        <f t="shared" si="5"/>
        <v>0</v>
      </c>
      <c r="BY53" s="7">
        <f t="shared" si="5"/>
        <v>0</v>
      </c>
    </row>
    <row r="54" spans="1:77" x14ac:dyDescent="0.2">
      <c r="A54" s="12"/>
      <c r="B54" s="4" t="s">
        <v>120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O54" s="9">
        <f t="shared" ref="AO54:BY54" si="6">+C54-C10</f>
        <v>0</v>
      </c>
      <c r="AP54" s="7">
        <f t="shared" si="6"/>
        <v>0</v>
      </c>
      <c r="AQ54" s="7">
        <f t="shared" si="6"/>
        <v>0</v>
      </c>
      <c r="AR54" s="7">
        <f t="shared" si="6"/>
        <v>0</v>
      </c>
      <c r="AS54" s="7">
        <f t="shared" si="6"/>
        <v>0</v>
      </c>
      <c r="AT54" s="7">
        <f t="shared" si="6"/>
        <v>0</v>
      </c>
      <c r="AU54" s="7">
        <f t="shared" si="6"/>
        <v>0</v>
      </c>
      <c r="AV54" s="7">
        <f t="shared" si="6"/>
        <v>0</v>
      </c>
      <c r="AW54" s="7">
        <f t="shared" si="6"/>
        <v>0</v>
      </c>
      <c r="AX54" s="7">
        <f t="shared" si="6"/>
        <v>0</v>
      </c>
      <c r="AY54" s="7">
        <f t="shared" si="6"/>
        <v>0</v>
      </c>
      <c r="AZ54" s="7">
        <f t="shared" si="6"/>
        <v>0</v>
      </c>
      <c r="BA54" s="7">
        <f t="shared" si="6"/>
        <v>0</v>
      </c>
      <c r="BB54" s="7">
        <f t="shared" si="6"/>
        <v>0</v>
      </c>
      <c r="BC54" s="7">
        <f t="shared" si="6"/>
        <v>0</v>
      </c>
      <c r="BD54" s="7">
        <f t="shared" si="6"/>
        <v>0</v>
      </c>
      <c r="BE54" s="7">
        <f t="shared" si="6"/>
        <v>0</v>
      </c>
      <c r="BF54" s="7">
        <f t="shared" si="6"/>
        <v>0</v>
      </c>
      <c r="BG54" s="7">
        <f t="shared" si="6"/>
        <v>0</v>
      </c>
      <c r="BH54" s="7">
        <f t="shared" si="6"/>
        <v>0</v>
      </c>
      <c r="BI54" s="7">
        <f t="shared" si="6"/>
        <v>0</v>
      </c>
      <c r="BJ54" s="7">
        <f t="shared" si="6"/>
        <v>0</v>
      </c>
      <c r="BK54" s="7">
        <f t="shared" si="6"/>
        <v>0</v>
      </c>
      <c r="BL54" s="7">
        <f t="shared" si="6"/>
        <v>0</v>
      </c>
      <c r="BM54" s="7">
        <f t="shared" si="6"/>
        <v>0</v>
      </c>
      <c r="BN54" s="7">
        <f t="shared" si="6"/>
        <v>0</v>
      </c>
      <c r="BO54" s="7">
        <f t="shared" si="6"/>
        <v>0</v>
      </c>
      <c r="BP54" s="7">
        <f t="shared" si="6"/>
        <v>0</v>
      </c>
      <c r="BQ54" s="7">
        <f t="shared" si="6"/>
        <v>0</v>
      </c>
      <c r="BR54" s="7">
        <f t="shared" si="6"/>
        <v>0</v>
      </c>
      <c r="BS54" s="7">
        <f t="shared" si="6"/>
        <v>0</v>
      </c>
      <c r="BT54" s="7">
        <f t="shared" si="6"/>
        <v>0</v>
      </c>
      <c r="BU54" s="7">
        <f t="shared" si="6"/>
        <v>0</v>
      </c>
      <c r="BV54" s="7">
        <f t="shared" si="6"/>
        <v>0</v>
      </c>
      <c r="BW54" s="7">
        <f t="shared" si="6"/>
        <v>0</v>
      </c>
      <c r="BX54" s="7">
        <f t="shared" si="6"/>
        <v>0</v>
      </c>
      <c r="BY54" s="7">
        <f t="shared" si="6"/>
        <v>0</v>
      </c>
    </row>
    <row r="55" spans="1:77" x14ac:dyDescent="0.2">
      <c r="A55" s="12"/>
      <c r="B55" s="4" t="s">
        <v>131</v>
      </c>
      <c r="C55" s="7">
        <v>51.902558237164698</v>
      </c>
      <c r="D55" s="7">
        <v>40.998840845540997</v>
      </c>
      <c r="E55" s="7">
        <v>28.476362316652899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77.867867261255199</v>
      </c>
      <c r="X55" s="7">
        <v>391.45758375650098</v>
      </c>
      <c r="Y55" s="7">
        <v>300.92279834714901</v>
      </c>
      <c r="Z55" s="7">
        <v>427.723366792131</v>
      </c>
      <c r="AA55" s="7">
        <v>9.1106445049203195</v>
      </c>
      <c r="AB55" s="7">
        <v>1.3304861436547699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O55" s="9">
        <f t="shared" ref="AO55:BY55" si="7">+C55-C11</f>
        <v>0.53226954274190064</v>
      </c>
      <c r="AP55" s="7">
        <f t="shared" si="7"/>
        <v>0.54416140377259836</v>
      </c>
      <c r="AQ55" s="7">
        <f t="shared" si="7"/>
        <v>0.55214437892709967</v>
      </c>
      <c r="AR55" s="7">
        <f t="shared" si="7"/>
        <v>0</v>
      </c>
      <c r="AS55" s="7">
        <f t="shared" si="7"/>
        <v>0</v>
      </c>
      <c r="AT55" s="7">
        <f t="shared" si="7"/>
        <v>0</v>
      </c>
      <c r="AU55" s="7">
        <f t="shared" si="7"/>
        <v>0</v>
      </c>
      <c r="AV55" s="7">
        <f t="shared" si="7"/>
        <v>0</v>
      </c>
      <c r="AW55" s="7">
        <f t="shared" si="7"/>
        <v>0</v>
      </c>
      <c r="AX55" s="7">
        <f t="shared" si="7"/>
        <v>0</v>
      </c>
      <c r="AY55" s="7">
        <f t="shared" si="7"/>
        <v>0</v>
      </c>
      <c r="AZ55" s="7">
        <f t="shared" si="7"/>
        <v>0</v>
      </c>
      <c r="BA55" s="7">
        <f t="shared" si="7"/>
        <v>0</v>
      </c>
      <c r="BB55" s="7">
        <f t="shared" si="7"/>
        <v>0</v>
      </c>
      <c r="BC55" s="7">
        <f t="shared" si="7"/>
        <v>0</v>
      </c>
      <c r="BD55" s="7">
        <f t="shared" si="7"/>
        <v>0</v>
      </c>
      <c r="BE55" s="7">
        <f t="shared" si="7"/>
        <v>0</v>
      </c>
      <c r="BF55" s="7">
        <f t="shared" si="7"/>
        <v>0</v>
      </c>
      <c r="BG55" s="7">
        <f t="shared" si="7"/>
        <v>0</v>
      </c>
      <c r="BH55" s="7">
        <f t="shared" si="7"/>
        <v>0</v>
      </c>
      <c r="BI55" s="7">
        <f t="shared" si="7"/>
        <v>-305.57805531343581</v>
      </c>
      <c r="BJ55" s="7">
        <f t="shared" si="7"/>
        <v>-4.6319230926370096</v>
      </c>
      <c r="BK55" s="7">
        <f t="shared" si="7"/>
        <v>-3.0666303821469683</v>
      </c>
      <c r="BL55" s="7">
        <f t="shared" si="7"/>
        <v>-1.2022690316579769</v>
      </c>
      <c r="BM55" s="7">
        <f t="shared" si="7"/>
        <v>0.366797790335049</v>
      </c>
      <c r="BN55" s="7">
        <f t="shared" si="7"/>
        <v>1.3304861436547699</v>
      </c>
      <c r="BO55" s="7">
        <f t="shared" si="7"/>
        <v>0</v>
      </c>
      <c r="BP55" s="7">
        <f t="shared" si="7"/>
        <v>0</v>
      </c>
      <c r="BQ55" s="7">
        <f t="shared" si="7"/>
        <v>0</v>
      </c>
      <c r="BR55" s="7">
        <f t="shared" si="7"/>
        <v>0</v>
      </c>
      <c r="BS55" s="7">
        <f t="shared" si="7"/>
        <v>0</v>
      </c>
      <c r="BT55" s="7">
        <f t="shared" si="7"/>
        <v>0</v>
      </c>
      <c r="BU55" s="7">
        <f t="shared" si="7"/>
        <v>0</v>
      </c>
      <c r="BV55" s="7">
        <f t="shared" si="7"/>
        <v>0</v>
      </c>
      <c r="BW55" s="7">
        <f t="shared" si="7"/>
        <v>0</v>
      </c>
      <c r="BX55" s="7">
        <f t="shared" si="7"/>
        <v>0</v>
      </c>
      <c r="BY55" s="7">
        <f t="shared" si="7"/>
        <v>0</v>
      </c>
    </row>
    <row r="56" spans="1:77" x14ac:dyDescent="0.2">
      <c r="A56" s="12"/>
      <c r="B56" s="4" t="s">
        <v>119</v>
      </c>
      <c r="C56" s="7">
        <v>9.0939510815845004E-2</v>
      </c>
      <c r="D56" s="7">
        <v>8.4500275738988204E-2</v>
      </c>
      <c r="E56" s="7">
        <v>0.15827755924377401</v>
      </c>
      <c r="F56" s="7">
        <v>15.5761399242782</v>
      </c>
      <c r="G56" s="7">
        <v>17.512375722593301</v>
      </c>
      <c r="H56" s="7">
        <v>21.841417907883301</v>
      </c>
      <c r="I56" s="7">
        <v>29.873415064548301</v>
      </c>
      <c r="J56" s="7">
        <v>33.634040325944</v>
      </c>
      <c r="K56" s="7">
        <v>37.587430071390997</v>
      </c>
      <c r="L56" s="7">
        <v>41.795041937759002</v>
      </c>
      <c r="M56" s="7">
        <v>46.196281216373599</v>
      </c>
      <c r="N56" s="7">
        <v>50.772348308295498</v>
      </c>
      <c r="O56" s="7">
        <v>55.510409121006802</v>
      </c>
      <c r="P56" s="7">
        <v>60.260973243066204</v>
      </c>
      <c r="Q56" s="7">
        <v>66.070045006364495</v>
      </c>
      <c r="R56" s="7">
        <v>62.805433158453198</v>
      </c>
      <c r="S56" s="7">
        <v>66.508977788876095</v>
      </c>
      <c r="T56" s="7">
        <v>70.1837618307176</v>
      </c>
      <c r="U56" s="7">
        <v>73.539144872748395</v>
      </c>
      <c r="V56" s="7">
        <v>76.242417740004697</v>
      </c>
      <c r="W56" s="7">
        <v>79.648712455883896</v>
      </c>
      <c r="X56" s="7">
        <v>82.990140711663798</v>
      </c>
      <c r="Y56" s="7">
        <v>86.388646586693895</v>
      </c>
      <c r="Z56" s="7">
        <v>104.693948654092</v>
      </c>
      <c r="AA56" s="7">
        <v>109.743184977073</v>
      </c>
      <c r="AB56" s="7">
        <v>117.206066831857</v>
      </c>
      <c r="AC56" s="7">
        <v>128.43693590784301</v>
      </c>
      <c r="AD56" s="7">
        <v>135.44617429215</v>
      </c>
      <c r="AE56" s="7">
        <v>139.339839590385</v>
      </c>
      <c r="AF56" s="7">
        <v>146.27104696905801</v>
      </c>
      <c r="AG56" s="7">
        <v>153.22197781660799</v>
      </c>
      <c r="AH56" s="7">
        <v>160.33129224112</v>
      </c>
      <c r="AI56" s="7">
        <v>167.405482841387</v>
      </c>
      <c r="AJ56" s="7">
        <v>321.20765768970699</v>
      </c>
      <c r="AK56" s="7">
        <v>190.49386746050101</v>
      </c>
      <c r="AL56" s="7">
        <v>292.77222737970999</v>
      </c>
      <c r="AM56" s="7">
        <v>0</v>
      </c>
      <c r="AO56" s="9">
        <f t="shared" ref="AO56:BY56" si="8">+C56-C12</f>
        <v>3.5615053575628906E-2</v>
      </c>
      <c r="AP56" s="7">
        <f t="shared" si="8"/>
        <v>3.63736632957199E-2</v>
      </c>
      <c r="AQ56" s="7">
        <f t="shared" si="8"/>
        <v>0.11756297549191691</v>
      </c>
      <c r="AR56" s="7">
        <f t="shared" si="8"/>
        <v>11.897637053866919</v>
      </c>
      <c r="AS56" s="7">
        <f t="shared" si="8"/>
        <v>13.725090986390461</v>
      </c>
      <c r="AT56" s="7">
        <f t="shared" si="8"/>
        <v>17.946671755186031</v>
      </c>
      <c r="AU56" s="7">
        <f t="shared" si="8"/>
        <v>25.837601698930801</v>
      </c>
      <c r="AV56" s="7">
        <f t="shared" si="8"/>
        <v>29.423427376184819</v>
      </c>
      <c r="AW56" s="7">
        <f t="shared" si="8"/>
        <v>33.17341993827057</v>
      </c>
      <c r="AX56" s="7">
        <f t="shared" si="8"/>
        <v>37.130946408945078</v>
      </c>
      <c r="AY56" s="7">
        <f t="shared" si="8"/>
        <v>41.239894194473152</v>
      </c>
      <c r="AZ56" s="7">
        <f t="shared" si="8"/>
        <v>45.480650600609607</v>
      </c>
      <c r="BA56" s="7">
        <f t="shared" si="8"/>
        <v>49.840866552945201</v>
      </c>
      <c r="BB56" s="7">
        <f t="shared" si="8"/>
        <v>54.187638687111111</v>
      </c>
      <c r="BC56" s="7">
        <f t="shared" si="8"/>
        <v>58.730503075030306</v>
      </c>
      <c r="BD56" s="7">
        <f t="shared" si="8"/>
        <v>54.961715901155387</v>
      </c>
      <c r="BE56" s="7">
        <f t="shared" si="8"/>
        <v>58.14527675726471</v>
      </c>
      <c r="BF56" s="7">
        <f t="shared" si="8"/>
        <v>61.331512688102052</v>
      </c>
      <c r="BG56" s="7">
        <f t="shared" si="8"/>
        <v>64.136423349803408</v>
      </c>
      <c r="BH56" s="7">
        <f t="shared" si="8"/>
        <v>67.06318664045618</v>
      </c>
      <c r="BI56" s="7">
        <f t="shared" si="8"/>
        <v>69.926853257188412</v>
      </c>
      <c r="BJ56" s="7">
        <f t="shared" si="8"/>
        <v>72.731021079076598</v>
      </c>
      <c r="BK56" s="7">
        <f t="shared" si="8"/>
        <v>75.598642178232893</v>
      </c>
      <c r="BL56" s="7">
        <f t="shared" si="8"/>
        <v>89.778499622052692</v>
      </c>
      <c r="BM56" s="7">
        <f t="shared" si="8"/>
        <v>94.2239706501189</v>
      </c>
      <c r="BN56" s="7">
        <f t="shared" si="8"/>
        <v>101.098759407638</v>
      </c>
      <c r="BO56" s="7">
        <f t="shared" si="8"/>
        <v>111.72142871033751</v>
      </c>
      <c r="BP56" s="7">
        <f t="shared" si="8"/>
        <v>118.1013475704796</v>
      </c>
      <c r="BQ56" s="7">
        <f t="shared" si="8"/>
        <v>121.4927974305327</v>
      </c>
      <c r="BR56" s="7">
        <f t="shared" si="8"/>
        <v>127.8156715313584</v>
      </c>
      <c r="BS56" s="7">
        <f t="shared" si="8"/>
        <v>134.12497026690758</v>
      </c>
      <c r="BT56" s="7">
        <f t="shared" si="8"/>
        <v>140.55511283599751</v>
      </c>
      <c r="BU56" s="7">
        <f t="shared" si="8"/>
        <v>146.91308574220699</v>
      </c>
      <c r="BV56" s="7">
        <f t="shared" si="8"/>
        <v>299.9754442954353</v>
      </c>
      <c r="BW56" s="7">
        <f t="shared" si="8"/>
        <v>167.65813132301412</v>
      </c>
      <c r="BX56" s="7">
        <f t="shared" si="8"/>
        <v>269.09232112186288</v>
      </c>
      <c r="BY56" s="7">
        <f t="shared" si="8"/>
        <v>-24.545590845254001</v>
      </c>
    </row>
    <row r="57" spans="1:77" x14ac:dyDescent="0.2">
      <c r="A57" s="12"/>
      <c r="B57" s="4" t="s">
        <v>125</v>
      </c>
      <c r="C57" s="7">
        <v>0</v>
      </c>
      <c r="D57" s="7">
        <v>0</v>
      </c>
      <c r="E57" s="7">
        <v>0</v>
      </c>
      <c r="F57" s="7">
        <v>178.16577533524699</v>
      </c>
      <c r="G57" s="7">
        <v>664.99401878183198</v>
      </c>
      <c r="H57" s="7">
        <v>1809.2048223781301</v>
      </c>
      <c r="I57" s="7">
        <v>257.07307753232402</v>
      </c>
      <c r="J57" s="7">
        <v>261.852273338575</v>
      </c>
      <c r="K57" s="7">
        <v>326.93100805658298</v>
      </c>
      <c r="L57" s="7">
        <v>273.90298210063099</v>
      </c>
      <c r="M57" s="7">
        <v>280.41337583832001</v>
      </c>
      <c r="N57" s="7">
        <v>286.80730554002997</v>
      </c>
      <c r="O57" s="7">
        <v>293.54756896628101</v>
      </c>
      <c r="P57" s="7">
        <v>299.82312423634602</v>
      </c>
      <c r="Q57" s="7">
        <v>307.25565176953802</v>
      </c>
      <c r="R57" s="7">
        <v>315.212087449889</v>
      </c>
      <c r="S57" s="7">
        <v>322.65735382455699</v>
      </c>
      <c r="T57" s="7">
        <v>329.48181353919699</v>
      </c>
      <c r="U57" s="7">
        <v>332.67435646669099</v>
      </c>
      <c r="V57" s="7">
        <v>335.39508247487203</v>
      </c>
      <c r="W57" s="7">
        <v>336.41294315644302</v>
      </c>
      <c r="X57" s="7">
        <v>337.17514342242498</v>
      </c>
      <c r="Y57" s="7">
        <v>338.10603473892502</v>
      </c>
      <c r="Z57" s="7">
        <v>336.56677354457599</v>
      </c>
      <c r="AA57" s="7">
        <v>334.38107320656201</v>
      </c>
      <c r="AB57" s="7">
        <v>332.15376463320598</v>
      </c>
      <c r="AC57" s="7">
        <v>330.209898649867</v>
      </c>
      <c r="AD57" s="7">
        <v>328.16451520174502</v>
      </c>
      <c r="AE57" s="7">
        <v>338.349006851843</v>
      </c>
      <c r="AF57" s="7">
        <v>331.97181880634702</v>
      </c>
      <c r="AG57" s="7">
        <v>324.951288963487</v>
      </c>
      <c r="AH57" s="7">
        <v>310.25530036293702</v>
      </c>
      <c r="AI57" s="7">
        <v>296.68132942721502</v>
      </c>
      <c r="AJ57" s="7">
        <v>1181.4872803390199</v>
      </c>
      <c r="AK57" s="7">
        <v>1234.9422856845199</v>
      </c>
      <c r="AL57" s="7">
        <v>2929.49384697195</v>
      </c>
      <c r="AM57" s="7">
        <v>0</v>
      </c>
      <c r="AO57" s="9">
        <f t="shared" ref="AO57:BY57" si="9">+C57-C13</f>
        <v>0</v>
      </c>
      <c r="AP57" s="7">
        <f t="shared" si="9"/>
        <v>0</v>
      </c>
      <c r="AQ57" s="7">
        <f t="shared" si="9"/>
        <v>0</v>
      </c>
      <c r="AR57" s="7">
        <f t="shared" si="9"/>
        <v>-182.88316557529001</v>
      </c>
      <c r="AS57" s="7">
        <f t="shared" si="9"/>
        <v>664.99401878183198</v>
      </c>
      <c r="AT57" s="7">
        <f t="shared" si="9"/>
        <v>228.88024775842018</v>
      </c>
      <c r="AU57" s="7">
        <f t="shared" si="9"/>
        <v>231.58930975616053</v>
      </c>
      <c r="AV57" s="7">
        <f t="shared" si="9"/>
        <v>234.55227873106929</v>
      </c>
      <c r="AW57" s="7">
        <f t="shared" si="9"/>
        <v>238.66981200383719</v>
      </c>
      <c r="AX57" s="7">
        <f t="shared" si="9"/>
        <v>243.21959496568019</v>
      </c>
      <c r="AY57" s="7">
        <f t="shared" si="9"/>
        <v>247.54174373945642</v>
      </c>
      <c r="AZ57" s="7">
        <f t="shared" si="9"/>
        <v>251.82180669250258</v>
      </c>
      <c r="BA57" s="7">
        <f t="shared" si="9"/>
        <v>256.15655281237798</v>
      </c>
      <c r="BB57" s="7">
        <f t="shared" si="9"/>
        <v>260.19733605873239</v>
      </c>
      <c r="BC57" s="7">
        <f t="shared" si="9"/>
        <v>264.77571305720204</v>
      </c>
      <c r="BD57" s="7">
        <f t="shared" si="9"/>
        <v>269.70993391275488</v>
      </c>
      <c r="BE57" s="7">
        <f t="shared" si="9"/>
        <v>274.15341526618192</v>
      </c>
      <c r="BF57" s="7">
        <f t="shared" si="9"/>
        <v>278.14591089809767</v>
      </c>
      <c r="BG57" s="7">
        <f t="shared" si="9"/>
        <v>279.89701918648859</v>
      </c>
      <c r="BH57" s="7">
        <f t="shared" si="9"/>
        <v>281.05346486657385</v>
      </c>
      <c r="BI57" s="7">
        <f t="shared" si="9"/>
        <v>280.88356617261775</v>
      </c>
      <c r="BJ57" s="7">
        <f t="shared" si="9"/>
        <v>280.3647908976443</v>
      </c>
      <c r="BK57" s="7">
        <f t="shared" si="9"/>
        <v>279.9129844179003</v>
      </c>
      <c r="BL57" s="7">
        <f t="shared" si="9"/>
        <v>277.26133620343461</v>
      </c>
      <c r="BM57" s="7">
        <f t="shared" si="9"/>
        <v>273.86078261284769</v>
      </c>
      <c r="BN57" s="7">
        <f t="shared" si="9"/>
        <v>270.126530976862</v>
      </c>
      <c r="BO57" s="7">
        <f t="shared" si="9"/>
        <v>266.28517206123882</v>
      </c>
      <c r="BP57" s="7">
        <f t="shared" si="9"/>
        <v>262.09318288518341</v>
      </c>
      <c r="BQ57" s="7">
        <f t="shared" si="9"/>
        <v>265.63379430752718</v>
      </c>
      <c r="BR57" s="7">
        <f t="shared" si="9"/>
        <v>258.45079782318999</v>
      </c>
      <c r="BS57" s="7">
        <f t="shared" si="9"/>
        <v>251.1816335192855</v>
      </c>
      <c r="BT57" s="7">
        <f t="shared" si="9"/>
        <v>236.24412535136162</v>
      </c>
      <c r="BU57" s="7">
        <f t="shared" si="9"/>
        <v>222.95565843428921</v>
      </c>
      <c r="BV57" s="7">
        <f t="shared" si="9"/>
        <v>799.13345657947389</v>
      </c>
      <c r="BW57" s="7">
        <f t="shared" si="9"/>
        <v>1161.3718722133672</v>
      </c>
      <c r="BX57" s="7">
        <f t="shared" si="9"/>
        <v>1467.2456304136101</v>
      </c>
      <c r="BY57" s="7">
        <f t="shared" si="9"/>
        <v>-96.832480039569703</v>
      </c>
    </row>
    <row r="58" spans="1:77" x14ac:dyDescent="0.2">
      <c r="A58" s="12"/>
      <c r="B58" s="4" t="s">
        <v>137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O58" s="9">
        <f t="shared" ref="AO58:BY58" si="10">+C58-C14</f>
        <v>0</v>
      </c>
      <c r="AP58" s="7">
        <f t="shared" si="10"/>
        <v>0</v>
      </c>
      <c r="AQ58" s="7">
        <f t="shared" si="10"/>
        <v>0</v>
      </c>
      <c r="AR58" s="7">
        <f t="shared" si="10"/>
        <v>0</v>
      </c>
      <c r="AS58" s="7">
        <f t="shared" si="10"/>
        <v>0</v>
      </c>
      <c r="AT58" s="7">
        <f t="shared" si="10"/>
        <v>0</v>
      </c>
      <c r="AU58" s="7">
        <f t="shared" si="10"/>
        <v>0</v>
      </c>
      <c r="AV58" s="7">
        <f t="shared" si="10"/>
        <v>0</v>
      </c>
      <c r="AW58" s="7">
        <f t="shared" si="10"/>
        <v>0</v>
      </c>
      <c r="AX58" s="7">
        <f t="shared" si="10"/>
        <v>0</v>
      </c>
      <c r="AY58" s="7">
        <f t="shared" si="10"/>
        <v>0</v>
      </c>
      <c r="AZ58" s="7">
        <f t="shared" si="10"/>
        <v>0</v>
      </c>
      <c r="BA58" s="7">
        <f t="shared" si="10"/>
        <v>0</v>
      </c>
      <c r="BB58" s="7">
        <f t="shared" si="10"/>
        <v>0</v>
      </c>
      <c r="BC58" s="7">
        <f t="shared" si="10"/>
        <v>0</v>
      </c>
      <c r="BD58" s="7">
        <f t="shared" si="10"/>
        <v>0</v>
      </c>
      <c r="BE58" s="7">
        <f t="shared" si="10"/>
        <v>0</v>
      </c>
      <c r="BF58" s="7">
        <f t="shared" si="10"/>
        <v>0</v>
      </c>
      <c r="BG58" s="7">
        <f t="shared" si="10"/>
        <v>0</v>
      </c>
      <c r="BH58" s="7">
        <f t="shared" si="10"/>
        <v>0</v>
      </c>
      <c r="BI58" s="7">
        <f t="shared" si="10"/>
        <v>0</v>
      </c>
      <c r="BJ58" s="7">
        <f t="shared" si="10"/>
        <v>0</v>
      </c>
      <c r="BK58" s="7">
        <f t="shared" si="10"/>
        <v>0</v>
      </c>
      <c r="BL58" s="7">
        <f t="shared" si="10"/>
        <v>0</v>
      </c>
      <c r="BM58" s="7">
        <f t="shared" si="10"/>
        <v>0</v>
      </c>
      <c r="BN58" s="7">
        <f t="shared" si="10"/>
        <v>0</v>
      </c>
      <c r="BO58" s="7">
        <f t="shared" si="10"/>
        <v>0</v>
      </c>
      <c r="BP58" s="7">
        <f t="shared" si="10"/>
        <v>0</v>
      </c>
      <c r="BQ58" s="7">
        <f t="shared" si="10"/>
        <v>0</v>
      </c>
      <c r="BR58" s="7">
        <f t="shared" si="10"/>
        <v>0</v>
      </c>
      <c r="BS58" s="7">
        <f t="shared" si="10"/>
        <v>0</v>
      </c>
      <c r="BT58" s="7">
        <f t="shared" si="10"/>
        <v>0</v>
      </c>
      <c r="BU58" s="7">
        <f t="shared" si="10"/>
        <v>0</v>
      </c>
      <c r="BV58" s="7">
        <f t="shared" si="10"/>
        <v>0</v>
      </c>
      <c r="BW58" s="7">
        <f t="shared" si="10"/>
        <v>0</v>
      </c>
      <c r="BX58" s="7">
        <f t="shared" si="10"/>
        <v>0</v>
      </c>
      <c r="BY58" s="7">
        <f t="shared" si="10"/>
        <v>0</v>
      </c>
    </row>
    <row r="59" spans="1:77" x14ac:dyDescent="0.2">
      <c r="A59" s="12"/>
      <c r="B59" s="4" t="s">
        <v>138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O59" s="9">
        <f t="shared" ref="AO59:BY59" si="11">+C59-C15</f>
        <v>0</v>
      </c>
      <c r="AP59" s="7">
        <f t="shared" si="11"/>
        <v>0</v>
      </c>
      <c r="AQ59" s="7">
        <f t="shared" si="11"/>
        <v>0</v>
      </c>
      <c r="AR59" s="7">
        <f t="shared" si="11"/>
        <v>0</v>
      </c>
      <c r="AS59" s="7">
        <f t="shared" si="11"/>
        <v>0</v>
      </c>
      <c r="AT59" s="7">
        <f t="shared" si="11"/>
        <v>0</v>
      </c>
      <c r="AU59" s="7">
        <f t="shared" si="11"/>
        <v>0</v>
      </c>
      <c r="AV59" s="7">
        <f t="shared" si="11"/>
        <v>0</v>
      </c>
      <c r="AW59" s="7">
        <f t="shared" si="11"/>
        <v>0</v>
      </c>
      <c r="AX59" s="7">
        <f t="shared" si="11"/>
        <v>0</v>
      </c>
      <c r="AY59" s="7">
        <f t="shared" si="11"/>
        <v>0</v>
      </c>
      <c r="AZ59" s="7">
        <f t="shared" si="11"/>
        <v>0</v>
      </c>
      <c r="BA59" s="7">
        <f t="shared" si="11"/>
        <v>0</v>
      </c>
      <c r="BB59" s="7">
        <f t="shared" si="11"/>
        <v>0</v>
      </c>
      <c r="BC59" s="7">
        <f t="shared" si="11"/>
        <v>0</v>
      </c>
      <c r="BD59" s="7">
        <f t="shared" si="11"/>
        <v>0</v>
      </c>
      <c r="BE59" s="7">
        <f t="shared" si="11"/>
        <v>0</v>
      </c>
      <c r="BF59" s="7">
        <f t="shared" si="11"/>
        <v>0</v>
      </c>
      <c r="BG59" s="7">
        <f t="shared" si="11"/>
        <v>0</v>
      </c>
      <c r="BH59" s="7">
        <f t="shared" si="11"/>
        <v>0</v>
      </c>
      <c r="BI59" s="7">
        <f t="shared" si="11"/>
        <v>0</v>
      </c>
      <c r="BJ59" s="7">
        <f t="shared" si="11"/>
        <v>0</v>
      </c>
      <c r="BK59" s="7">
        <f t="shared" si="11"/>
        <v>0</v>
      </c>
      <c r="BL59" s="7">
        <f t="shared" si="11"/>
        <v>0</v>
      </c>
      <c r="BM59" s="7">
        <f t="shared" si="11"/>
        <v>0</v>
      </c>
      <c r="BN59" s="7">
        <f t="shared" si="11"/>
        <v>0</v>
      </c>
      <c r="BO59" s="7">
        <f t="shared" si="11"/>
        <v>0</v>
      </c>
      <c r="BP59" s="7">
        <f t="shared" si="11"/>
        <v>0</v>
      </c>
      <c r="BQ59" s="7">
        <f t="shared" si="11"/>
        <v>0</v>
      </c>
      <c r="BR59" s="7">
        <f t="shared" si="11"/>
        <v>0</v>
      </c>
      <c r="BS59" s="7">
        <f t="shared" si="11"/>
        <v>0</v>
      </c>
      <c r="BT59" s="7">
        <f t="shared" si="11"/>
        <v>0</v>
      </c>
      <c r="BU59" s="7">
        <f t="shared" si="11"/>
        <v>0</v>
      </c>
      <c r="BV59" s="7">
        <f t="shared" si="11"/>
        <v>0</v>
      </c>
      <c r="BW59" s="7">
        <f t="shared" si="11"/>
        <v>0</v>
      </c>
      <c r="BX59" s="7">
        <f t="shared" si="11"/>
        <v>0</v>
      </c>
      <c r="BY59" s="7">
        <f t="shared" si="11"/>
        <v>0</v>
      </c>
    </row>
    <row r="60" spans="1:77" x14ac:dyDescent="0.2">
      <c r="A60" s="12"/>
      <c r="B60" s="4" t="s">
        <v>127</v>
      </c>
      <c r="C60" s="7">
        <v>0</v>
      </c>
      <c r="D60" s="7">
        <v>0</v>
      </c>
      <c r="E60" s="7">
        <v>5716.5253550141597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1437.4146986477799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5716.5253550141597</v>
      </c>
      <c r="AJ60" s="7">
        <v>0</v>
      </c>
      <c r="AK60" s="7">
        <v>0</v>
      </c>
      <c r="AL60" s="7">
        <v>0</v>
      </c>
      <c r="AM60" s="7">
        <v>0</v>
      </c>
      <c r="AO60" s="9">
        <f t="shared" ref="AO60:BY60" si="12">+C60-C16</f>
        <v>0</v>
      </c>
      <c r="AP60" s="7">
        <f t="shared" si="12"/>
        <v>0</v>
      </c>
      <c r="AQ60" s="7">
        <f t="shared" si="12"/>
        <v>121.21665729719007</v>
      </c>
      <c r="AR60" s="7">
        <f t="shared" si="12"/>
        <v>0</v>
      </c>
      <c r="AS60" s="7">
        <f t="shared" si="12"/>
        <v>0</v>
      </c>
      <c r="AT60" s="7">
        <f t="shared" si="12"/>
        <v>0</v>
      </c>
      <c r="AU60" s="7">
        <f t="shared" si="12"/>
        <v>0</v>
      </c>
      <c r="AV60" s="7">
        <f t="shared" si="12"/>
        <v>0</v>
      </c>
      <c r="AW60" s="7">
        <f t="shared" si="12"/>
        <v>0</v>
      </c>
      <c r="AX60" s="7">
        <f t="shared" si="12"/>
        <v>0</v>
      </c>
      <c r="AY60" s="7">
        <f t="shared" si="12"/>
        <v>0</v>
      </c>
      <c r="AZ60" s="7">
        <f t="shared" si="12"/>
        <v>0</v>
      </c>
      <c r="BA60" s="7">
        <f t="shared" si="12"/>
        <v>0</v>
      </c>
      <c r="BB60" s="7">
        <f t="shared" si="12"/>
        <v>0</v>
      </c>
      <c r="BC60" s="7">
        <f t="shared" si="12"/>
        <v>0</v>
      </c>
      <c r="BD60" s="7">
        <f t="shared" si="12"/>
        <v>0</v>
      </c>
      <c r="BE60" s="7">
        <f t="shared" si="12"/>
        <v>0</v>
      </c>
      <c r="BF60" s="7">
        <f t="shared" si="12"/>
        <v>0</v>
      </c>
      <c r="BG60" s="7">
        <f t="shared" si="12"/>
        <v>0</v>
      </c>
      <c r="BH60" s="7">
        <f t="shared" si="12"/>
        <v>0</v>
      </c>
      <c r="BI60" s="7">
        <f t="shared" si="12"/>
        <v>0</v>
      </c>
      <c r="BJ60" s="7">
        <f t="shared" si="12"/>
        <v>0</v>
      </c>
      <c r="BK60" s="7">
        <f t="shared" si="12"/>
        <v>-25.024048574110111</v>
      </c>
      <c r="BL60" s="7">
        <f t="shared" si="12"/>
        <v>0</v>
      </c>
      <c r="BM60" s="7">
        <f t="shared" si="12"/>
        <v>0</v>
      </c>
      <c r="BN60" s="7">
        <f t="shared" si="12"/>
        <v>0</v>
      </c>
      <c r="BO60" s="7">
        <f t="shared" si="12"/>
        <v>0</v>
      </c>
      <c r="BP60" s="7">
        <f t="shared" si="12"/>
        <v>0</v>
      </c>
      <c r="BQ60" s="7">
        <f t="shared" si="12"/>
        <v>0</v>
      </c>
      <c r="BR60" s="7">
        <f t="shared" si="12"/>
        <v>0</v>
      </c>
      <c r="BS60" s="7">
        <f t="shared" si="12"/>
        <v>0</v>
      </c>
      <c r="BT60" s="7">
        <f t="shared" si="12"/>
        <v>0</v>
      </c>
      <c r="BU60" s="7">
        <f t="shared" si="12"/>
        <v>121.21665729719007</v>
      </c>
      <c r="BV60" s="7">
        <f t="shared" si="12"/>
        <v>0</v>
      </c>
      <c r="BW60" s="7">
        <f t="shared" si="12"/>
        <v>0</v>
      </c>
      <c r="BX60" s="7">
        <f t="shared" si="12"/>
        <v>0</v>
      </c>
      <c r="BY60" s="7">
        <f t="shared" si="12"/>
        <v>0</v>
      </c>
    </row>
    <row r="61" spans="1:77" x14ac:dyDescent="0.2">
      <c r="A61" s="12"/>
      <c r="B61" s="4" t="s">
        <v>121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3938.9188540575501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O61" s="9">
        <f t="shared" ref="AO61:BY61" si="13">+C61-C17</f>
        <v>0</v>
      </c>
      <c r="AP61" s="7">
        <f t="shared" si="13"/>
        <v>0</v>
      </c>
      <c r="AQ61" s="7">
        <f t="shared" si="13"/>
        <v>0</v>
      </c>
      <c r="AR61" s="7">
        <f t="shared" si="13"/>
        <v>0</v>
      </c>
      <c r="AS61" s="7">
        <f t="shared" si="13"/>
        <v>0</v>
      </c>
      <c r="AT61" s="7">
        <f t="shared" si="13"/>
        <v>0</v>
      </c>
      <c r="AU61" s="7">
        <f t="shared" si="13"/>
        <v>0</v>
      </c>
      <c r="AV61" s="7">
        <f t="shared" si="13"/>
        <v>0</v>
      </c>
      <c r="AW61" s="7">
        <f t="shared" si="13"/>
        <v>0</v>
      </c>
      <c r="AX61" s="7">
        <f t="shared" si="13"/>
        <v>0</v>
      </c>
      <c r="AY61" s="7">
        <f t="shared" si="13"/>
        <v>0</v>
      </c>
      <c r="AZ61" s="7">
        <f t="shared" si="13"/>
        <v>0</v>
      </c>
      <c r="BA61" s="7">
        <f t="shared" si="13"/>
        <v>0</v>
      </c>
      <c r="BB61" s="7">
        <f t="shared" si="13"/>
        <v>0</v>
      </c>
      <c r="BC61" s="7">
        <f t="shared" si="13"/>
        <v>0</v>
      </c>
      <c r="BD61" s="7">
        <f t="shared" si="13"/>
        <v>0</v>
      </c>
      <c r="BE61" s="7">
        <f t="shared" si="13"/>
        <v>0</v>
      </c>
      <c r="BF61" s="7">
        <f t="shared" si="13"/>
        <v>-3602.8254572904498</v>
      </c>
      <c r="BG61" s="7">
        <f t="shared" si="13"/>
        <v>-276.68733310477501</v>
      </c>
      <c r="BH61" s="7">
        <f t="shared" si="13"/>
        <v>-286.304818897806</v>
      </c>
      <c r="BI61" s="7">
        <f t="shared" si="13"/>
        <v>-294.02477752717499</v>
      </c>
      <c r="BJ61" s="7">
        <f t="shared" si="13"/>
        <v>-4636.3700140865894</v>
      </c>
      <c r="BK61" s="7">
        <f t="shared" si="13"/>
        <v>-311.239686328353</v>
      </c>
      <c r="BL61" s="7">
        <f t="shared" si="13"/>
        <v>-325.01598333729601</v>
      </c>
      <c r="BM61" s="7">
        <f t="shared" si="13"/>
        <v>-336.03223680975202</v>
      </c>
      <c r="BN61" s="7">
        <f t="shared" si="13"/>
        <v>-344.70468474362099</v>
      </c>
      <c r="BO61" s="7">
        <f t="shared" si="13"/>
        <v>-340.00416172837703</v>
      </c>
      <c r="BP61" s="7">
        <f t="shared" si="13"/>
        <v>-348.34426917672698</v>
      </c>
      <c r="BQ61" s="7">
        <f t="shared" si="13"/>
        <v>-398.98043245988498</v>
      </c>
      <c r="BR61" s="7">
        <f t="shared" si="13"/>
        <v>-403.40181538870502</v>
      </c>
      <c r="BS61" s="7">
        <f t="shared" si="13"/>
        <v>-508.139129882053</v>
      </c>
      <c r="BT61" s="7">
        <f t="shared" si="13"/>
        <v>-1226.61529380822</v>
      </c>
      <c r="BU61" s="7">
        <f t="shared" si="13"/>
        <v>-638.89757260838701</v>
      </c>
      <c r="BV61" s="7">
        <f t="shared" si="13"/>
        <v>-409.47979368464303</v>
      </c>
      <c r="BW61" s="7">
        <f t="shared" si="13"/>
        <v>-154.114569474284</v>
      </c>
      <c r="BX61" s="7">
        <f t="shared" si="13"/>
        <v>-678.61305066972</v>
      </c>
      <c r="BY61" s="7">
        <f t="shared" si="13"/>
        <v>0</v>
      </c>
    </row>
    <row r="62" spans="1:77" x14ac:dyDescent="0.2">
      <c r="A62" s="12"/>
      <c r="B62" s="4" t="s">
        <v>126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O62" s="9">
        <f t="shared" ref="AO62:BY62" si="14">+C62-C18</f>
        <v>0</v>
      </c>
      <c r="AP62" s="7">
        <f t="shared" si="14"/>
        <v>0</v>
      </c>
      <c r="AQ62" s="7">
        <f t="shared" si="14"/>
        <v>0</v>
      </c>
      <c r="AR62" s="7">
        <f t="shared" si="14"/>
        <v>0</v>
      </c>
      <c r="AS62" s="7">
        <f t="shared" si="14"/>
        <v>0</v>
      </c>
      <c r="AT62" s="7">
        <f t="shared" si="14"/>
        <v>0</v>
      </c>
      <c r="AU62" s="7">
        <f t="shared" si="14"/>
        <v>0</v>
      </c>
      <c r="AV62" s="7">
        <f t="shared" si="14"/>
        <v>0</v>
      </c>
      <c r="AW62" s="7">
        <f t="shared" si="14"/>
        <v>0</v>
      </c>
      <c r="AX62" s="7">
        <f t="shared" si="14"/>
        <v>0</v>
      </c>
      <c r="AY62" s="7">
        <f t="shared" si="14"/>
        <v>0</v>
      </c>
      <c r="AZ62" s="7">
        <f t="shared" si="14"/>
        <v>0</v>
      </c>
      <c r="BA62" s="7">
        <f t="shared" si="14"/>
        <v>0</v>
      </c>
      <c r="BB62" s="7">
        <f t="shared" si="14"/>
        <v>0</v>
      </c>
      <c r="BC62" s="7">
        <f t="shared" si="14"/>
        <v>0</v>
      </c>
      <c r="BD62" s="7">
        <f t="shared" si="14"/>
        <v>0</v>
      </c>
      <c r="BE62" s="7">
        <f t="shared" si="14"/>
        <v>0</v>
      </c>
      <c r="BF62" s="7">
        <f t="shared" si="14"/>
        <v>-3518.8316770606598</v>
      </c>
      <c r="BG62" s="7">
        <f t="shared" si="14"/>
        <v>-1098.8012645961901</v>
      </c>
      <c r="BH62" s="7">
        <f t="shared" si="14"/>
        <v>-1329.8072928322499</v>
      </c>
      <c r="BI62" s="7">
        <f t="shared" si="14"/>
        <v>-542.04981170882297</v>
      </c>
      <c r="BJ62" s="7">
        <f t="shared" si="14"/>
        <v>-564.32135021674901</v>
      </c>
      <c r="BK62" s="7">
        <f t="shared" si="14"/>
        <v>-793.866489592324</v>
      </c>
      <c r="BL62" s="7">
        <f t="shared" si="14"/>
        <v>-561.43873025173195</v>
      </c>
      <c r="BM62" s="7">
        <f t="shared" si="14"/>
        <v>-554.86886109149805</v>
      </c>
      <c r="BN62" s="7">
        <f t="shared" si="14"/>
        <v>-539.46315639027705</v>
      </c>
      <c r="BO62" s="7">
        <f t="shared" si="14"/>
        <v>-542.19489927108805</v>
      </c>
      <c r="BP62" s="7">
        <f t="shared" si="14"/>
        <v>-541.72913258958999</v>
      </c>
      <c r="BQ62" s="7">
        <f t="shared" si="14"/>
        <v>-598.03818541508394</v>
      </c>
      <c r="BR62" s="7">
        <f t="shared" si="14"/>
        <v>-604.52229411188</v>
      </c>
      <c r="BS62" s="7">
        <f t="shared" si="14"/>
        <v>-589.11739067762005</v>
      </c>
      <c r="BT62" s="7">
        <f t="shared" si="14"/>
        <v>0</v>
      </c>
      <c r="BU62" s="7">
        <f t="shared" si="14"/>
        <v>0</v>
      </c>
      <c r="BV62" s="7">
        <f t="shared" si="14"/>
        <v>0</v>
      </c>
      <c r="BW62" s="7">
        <f t="shared" si="14"/>
        <v>0</v>
      </c>
      <c r="BX62" s="7">
        <f t="shared" si="14"/>
        <v>0</v>
      </c>
      <c r="BY62" s="7">
        <f t="shared" si="14"/>
        <v>0</v>
      </c>
    </row>
    <row r="63" spans="1:77" x14ac:dyDescent="0.2">
      <c r="A63" s="12"/>
      <c r="B63" s="4" t="s">
        <v>130</v>
      </c>
      <c r="C63" s="7">
        <v>0</v>
      </c>
      <c r="D63" s="7">
        <v>926.70728150981995</v>
      </c>
      <c r="E63" s="7">
        <v>147.193628546486</v>
      </c>
      <c r="F63" s="7">
        <v>532.82829824380201</v>
      </c>
      <c r="G63" s="7">
        <v>553.18114571811498</v>
      </c>
      <c r="H63" s="7">
        <v>531.88910862824696</v>
      </c>
      <c r="I63" s="7">
        <v>578.65415855818298</v>
      </c>
      <c r="J63" s="7">
        <v>1937.93194686012</v>
      </c>
      <c r="K63" s="7">
        <v>1964.82026839989</v>
      </c>
      <c r="L63" s="7">
        <v>1880.6118403845501</v>
      </c>
      <c r="M63" s="7">
        <v>849.89740540780394</v>
      </c>
      <c r="N63" s="7">
        <v>1624.7409411412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203.299960017129</v>
      </c>
      <c r="W63" s="7">
        <v>664.29528446715699</v>
      </c>
      <c r="X63" s="7">
        <v>948.27182250672104</v>
      </c>
      <c r="Y63" s="7">
        <v>1822.21482538283</v>
      </c>
      <c r="Z63" s="7">
        <v>672.10058106665599</v>
      </c>
      <c r="AA63" s="7">
        <v>1408.88231036353</v>
      </c>
      <c r="AB63" s="7">
        <v>583.62359849521704</v>
      </c>
      <c r="AC63" s="7">
        <v>872.45713551089204</v>
      </c>
      <c r="AD63" s="7">
        <v>541.01307809937703</v>
      </c>
      <c r="AE63" s="7">
        <v>567.59874987593298</v>
      </c>
      <c r="AF63" s="7">
        <v>2227.3297721641302</v>
      </c>
      <c r="AG63" s="7">
        <v>618.32327002182001</v>
      </c>
      <c r="AH63" s="7">
        <v>1245.4314954741201</v>
      </c>
      <c r="AI63" s="7">
        <v>797.80953857000202</v>
      </c>
      <c r="AJ63" s="7">
        <v>524.21170394614501</v>
      </c>
      <c r="AK63" s="7">
        <v>962.28090991774297</v>
      </c>
      <c r="AL63" s="7">
        <v>1015.60175767772</v>
      </c>
      <c r="AM63" s="7">
        <v>0</v>
      </c>
      <c r="AO63" s="9">
        <f t="shared" ref="AO63:BY63" si="15">+C63-C19</f>
        <v>0</v>
      </c>
      <c r="AP63" s="7">
        <f t="shared" si="15"/>
        <v>89.187697960173978</v>
      </c>
      <c r="AQ63" s="7">
        <f t="shared" si="15"/>
        <v>78.211102266172503</v>
      </c>
      <c r="AR63" s="7">
        <f t="shared" si="15"/>
        <v>477.44014290776659</v>
      </c>
      <c r="AS63" s="7">
        <f t="shared" si="15"/>
        <v>553.18114571811498</v>
      </c>
      <c r="AT63" s="7">
        <f t="shared" si="15"/>
        <v>500.16610803604135</v>
      </c>
      <c r="AU63" s="7">
        <f t="shared" si="15"/>
        <v>477.16431523390798</v>
      </c>
      <c r="AV63" s="7">
        <f t="shared" si="15"/>
        <v>1601.142776252876</v>
      </c>
      <c r="AW63" s="7">
        <f t="shared" si="15"/>
        <v>1611.7371454310389</v>
      </c>
      <c r="AX63" s="7">
        <f t="shared" si="15"/>
        <v>1549.864060911977</v>
      </c>
      <c r="AY63" s="7">
        <f t="shared" si="15"/>
        <v>425.94776930609396</v>
      </c>
      <c r="AZ63" s="7">
        <f t="shared" si="15"/>
        <v>1573.023137408599</v>
      </c>
      <c r="BA63" s="7">
        <f t="shared" si="15"/>
        <v>-55.634169254381597</v>
      </c>
      <c r="BB63" s="7">
        <f t="shared" si="15"/>
        <v>-33.663340257572401</v>
      </c>
      <c r="BC63" s="7">
        <f t="shared" si="15"/>
        <v>0</v>
      </c>
      <c r="BD63" s="7">
        <f t="shared" si="15"/>
        <v>0</v>
      </c>
      <c r="BE63" s="7">
        <f t="shared" si="15"/>
        <v>0</v>
      </c>
      <c r="BF63" s="7">
        <f t="shared" si="15"/>
        <v>0</v>
      </c>
      <c r="BG63" s="7">
        <f t="shared" si="15"/>
        <v>-174.89531898769101</v>
      </c>
      <c r="BH63" s="7">
        <f t="shared" si="15"/>
        <v>-57.457585001358012</v>
      </c>
      <c r="BI63" s="7">
        <f t="shared" si="15"/>
        <v>442.10389173804998</v>
      </c>
      <c r="BJ63" s="7">
        <f t="shared" si="15"/>
        <v>401.65851700124006</v>
      </c>
      <c r="BK63" s="7">
        <f t="shared" si="15"/>
        <v>405.09182206053993</v>
      </c>
      <c r="BL63" s="7">
        <f t="shared" si="15"/>
        <v>390.18049707306596</v>
      </c>
      <c r="BM63" s="7">
        <f t="shared" si="15"/>
        <v>374.15016001817003</v>
      </c>
      <c r="BN63" s="7">
        <f t="shared" si="15"/>
        <v>357.68272134400104</v>
      </c>
      <c r="BO63" s="7">
        <f t="shared" si="15"/>
        <v>341.11833684101805</v>
      </c>
      <c r="BP63" s="7">
        <f t="shared" si="15"/>
        <v>327.70712979478401</v>
      </c>
      <c r="BQ63" s="7">
        <f t="shared" si="15"/>
        <v>355.07857237160295</v>
      </c>
      <c r="BR63" s="7">
        <f t="shared" si="15"/>
        <v>334.84337396421029</v>
      </c>
      <c r="BS63" s="7">
        <f t="shared" si="15"/>
        <v>415.25142708609803</v>
      </c>
      <c r="BT63" s="7">
        <f t="shared" si="15"/>
        <v>578.1452996670431</v>
      </c>
      <c r="BU63" s="7">
        <f t="shared" si="15"/>
        <v>380.583926699291</v>
      </c>
      <c r="BV63" s="7">
        <f t="shared" si="15"/>
        <v>53.259185501979005</v>
      </c>
      <c r="BW63" s="7">
        <f t="shared" si="15"/>
        <v>505.16851455208098</v>
      </c>
      <c r="BX63" s="7">
        <f t="shared" si="15"/>
        <v>828.54992029918299</v>
      </c>
      <c r="BY63" s="7">
        <f t="shared" si="15"/>
        <v>-446.67628548065898</v>
      </c>
    </row>
    <row r="64" spans="1:77" x14ac:dyDescent="0.2">
      <c r="A64" s="12"/>
      <c r="B64" s="4" t="s">
        <v>124</v>
      </c>
      <c r="C64" s="7">
        <v>0</v>
      </c>
      <c r="D64" s="7">
        <v>0</v>
      </c>
      <c r="E64" s="7">
        <v>0</v>
      </c>
      <c r="F64" s="7">
        <v>1884.6508828555</v>
      </c>
      <c r="G64" s="7">
        <v>1874.13291418321</v>
      </c>
      <c r="H64" s="7">
        <v>1865.73225959197</v>
      </c>
      <c r="I64" s="7">
        <v>1913.3597078907701</v>
      </c>
      <c r="J64" s="7">
        <v>1940.50450648778</v>
      </c>
      <c r="K64" s="7">
        <v>1964.8193991918999</v>
      </c>
      <c r="L64" s="7">
        <v>1992.78924962202</v>
      </c>
      <c r="M64" s="7">
        <v>2018.2861330087101</v>
      </c>
      <c r="N64" s="7">
        <v>2043.03762357201</v>
      </c>
      <c r="O64" s="7">
        <v>2067.3855919007701</v>
      </c>
      <c r="P64" s="7">
        <v>2089.0906023522798</v>
      </c>
      <c r="Q64" s="7">
        <v>2114.04298220484</v>
      </c>
      <c r="R64" s="7">
        <v>2140.4907844086902</v>
      </c>
      <c r="S64" s="7">
        <v>2185.5314686329598</v>
      </c>
      <c r="T64" s="7">
        <v>2227.8061648810599</v>
      </c>
      <c r="U64" s="7">
        <v>3390.6055292063502</v>
      </c>
      <c r="V64" s="7">
        <v>1139.9795534034799</v>
      </c>
      <c r="W64" s="7">
        <v>2279.1212180594798</v>
      </c>
      <c r="X64" s="7">
        <v>2285.76982937086</v>
      </c>
      <c r="Y64" s="7">
        <v>2291.8896362147998</v>
      </c>
      <c r="Z64" s="7">
        <v>2286.0465069101001</v>
      </c>
      <c r="AA64" s="7">
        <v>2275.4112593054201</v>
      </c>
      <c r="AB64" s="7">
        <v>2263.1895441124302</v>
      </c>
      <c r="AC64" s="7">
        <v>2251.2563022450499</v>
      </c>
      <c r="AD64" s="7">
        <v>2282.9234005028102</v>
      </c>
      <c r="AE64" s="7">
        <v>3831.8833870562798</v>
      </c>
      <c r="AF64" s="7">
        <v>3911.3531656699502</v>
      </c>
      <c r="AG64" s="7">
        <v>11115.256754911499</v>
      </c>
      <c r="AH64" s="7">
        <v>867.95616887450603</v>
      </c>
      <c r="AI64" s="7">
        <v>6672.1896521672998</v>
      </c>
      <c r="AJ64" s="7">
        <v>2170.2611553050201</v>
      </c>
      <c r="AK64" s="7">
        <v>2473.62491960122</v>
      </c>
      <c r="AL64" s="7">
        <v>2183.9834687862799</v>
      </c>
      <c r="AM64" s="7">
        <v>2026.9359228523399</v>
      </c>
      <c r="AO64" s="9">
        <f t="shared" ref="AO64:BY64" si="16">+C64-C20</f>
        <v>0</v>
      </c>
      <c r="AP64" s="7">
        <f t="shared" si="16"/>
        <v>0</v>
      </c>
      <c r="AQ64" s="7">
        <f t="shared" si="16"/>
        <v>0</v>
      </c>
      <c r="AR64" s="7">
        <f t="shared" si="16"/>
        <v>1884.6508828555</v>
      </c>
      <c r="AS64" s="7">
        <f t="shared" si="16"/>
        <v>1874.13291418321</v>
      </c>
      <c r="AT64" s="7">
        <f t="shared" si="16"/>
        <v>1865.73225959197</v>
      </c>
      <c r="AU64" s="7">
        <f t="shared" si="16"/>
        <v>1913.3597078907701</v>
      </c>
      <c r="AV64" s="7">
        <f t="shared" si="16"/>
        <v>1940.50450648778</v>
      </c>
      <c r="AW64" s="7">
        <f t="shared" si="16"/>
        <v>1964.8193991918999</v>
      </c>
      <c r="AX64" s="7">
        <f t="shared" si="16"/>
        <v>1992.78924962202</v>
      </c>
      <c r="AY64" s="7">
        <f t="shared" si="16"/>
        <v>2018.2861330087101</v>
      </c>
      <c r="AZ64" s="7">
        <f t="shared" si="16"/>
        <v>2043.03762357201</v>
      </c>
      <c r="BA64" s="7">
        <f t="shared" si="16"/>
        <v>2067.3855919007701</v>
      </c>
      <c r="BB64" s="7">
        <f t="shared" si="16"/>
        <v>2089.0906023522798</v>
      </c>
      <c r="BC64" s="7">
        <f t="shared" si="16"/>
        <v>2114.04298220484</v>
      </c>
      <c r="BD64" s="7">
        <f t="shared" si="16"/>
        <v>2140.4907844086902</v>
      </c>
      <c r="BE64" s="7">
        <f t="shared" si="16"/>
        <v>2185.5314686329598</v>
      </c>
      <c r="BF64" s="7">
        <f t="shared" si="16"/>
        <v>2227.8061648810599</v>
      </c>
      <c r="BG64" s="7">
        <f t="shared" si="16"/>
        <v>3390.6055292063502</v>
      </c>
      <c r="BH64" s="7">
        <f t="shared" si="16"/>
        <v>1139.9795534034799</v>
      </c>
      <c r="BI64" s="7">
        <f t="shared" si="16"/>
        <v>2279.1212180594798</v>
      </c>
      <c r="BJ64" s="7">
        <f t="shared" si="16"/>
        <v>2285.76982937086</v>
      </c>
      <c r="BK64" s="7">
        <f t="shared" si="16"/>
        <v>2291.8896362147998</v>
      </c>
      <c r="BL64" s="7">
        <f t="shared" si="16"/>
        <v>2286.0465069101001</v>
      </c>
      <c r="BM64" s="7">
        <f t="shared" si="16"/>
        <v>2275.4112593054201</v>
      </c>
      <c r="BN64" s="7">
        <f t="shared" si="16"/>
        <v>2263.1895441124302</v>
      </c>
      <c r="BO64" s="7">
        <f t="shared" si="16"/>
        <v>2251.2563022450499</v>
      </c>
      <c r="BP64" s="7">
        <f t="shared" si="16"/>
        <v>2282.9234005028102</v>
      </c>
      <c r="BQ64" s="7">
        <f t="shared" si="16"/>
        <v>3831.8833870562798</v>
      </c>
      <c r="BR64" s="7">
        <f t="shared" si="16"/>
        <v>3911.3531656699502</v>
      </c>
      <c r="BS64" s="7">
        <f t="shared" si="16"/>
        <v>11115.256754911499</v>
      </c>
      <c r="BT64" s="7">
        <f t="shared" si="16"/>
        <v>867.95616887450603</v>
      </c>
      <c r="BU64" s="7">
        <f t="shared" si="16"/>
        <v>6672.1896521672998</v>
      </c>
      <c r="BV64" s="7">
        <f t="shared" si="16"/>
        <v>2170.2611553050201</v>
      </c>
      <c r="BW64" s="7">
        <f t="shared" si="16"/>
        <v>2473.62491960122</v>
      </c>
      <c r="BX64" s="7">
        <f t="shared" si="16"/>
        <v>2183.9834687862799</v>
      </c>
      <c r="BY64" s="7">
        <f t="shared" si="16"/>
        <v>2026.9359228523399</v>
      </c>
    </row>
    <row r="65" spans="1:77" x14ac:dyDescent="0.2">
      <c r="A65" s="12"/>
      <c r="B65" s="4" t="s">
        <v>132</v>
      </c>
      <c r="C65" s="7">
        <v>0</v>
      </c>
      <c r="D65" s="7">
        <v>1130.74590216664</v>
      </c>
      <c r="E65" s="7">
        <v>131.372166835146</v>
      </c>
      <c r="F65" s="7">
        <v>2087.0096019002799</v>
      </c>
      <c r="G65" s="7">
        <v>143.82069686254499</v>
      </c>
      <c r="H65" s="7">
        <v>1310.23304747668</v>
      </c>
      <c r="I65" s="7">
        <v>707.96091023805195</v>
      </c>
      <c r="J65" s="7">
        <v>0</v>
      </c>
      <c r="K65" s="7">
        <v>0</v>
      </c>
      <c r="L65" s="7">
        <v>0</v>
      </c>
      <c r="M65" s="7">
        <v>759.25549950015795</v>
      </c>
      <c r="N65" s="7">
        <v>242.91706329916701</v>
      </c>
      <c r="O65" s="7">
        <v>3171.8645972506101</v>
      </c>
      <c r="P65" s="7">
        <v>1227.1112971289199</v>
      </c>
      <c r="Q65" s="7">
        <v>1258.9023061713101</v>
      </c>
      <c r="R65" s="7">
        <v>1370.09515309069</v>
      </c>
      <c r="S65" s="7">
        <v>1364.82375115423</v>
      </c>
      <c r="T65" s="7">
        <v>4295.8998236978896</v>
      </c>
      <c r="U65" s="7">
        <v>0</v>
      </c>
      <c r="V65" s="7">
        <v>883.34055436757103</v>
      </c>
      <c r="W65" s="7">
        <v>0</v>
      </c>
      <c r="X65" s="7">
        <v>1802.0749930532199</v>
      </c>
      <c r="Y65" s="7">
        <v>2368.8374682301801</v>
      </c>
      <c r="Z65" s="7">
        <v>1742.8794108481</v>
      </c>
      <c r="AA65" s="7">
        <v>786.19750747130797</v>
      </c>
      <c r="AB65" s="7">
        <v>2507.5552744343599</v>
      </c>
      <c r="AC65" s="7">
        <v>1280.95996369008</v>
      </c>
      <c r="AD65" s="7">
        <v>1485.47050622901</v>
      </c>
      <c r="AE65" s="7">
        <v>1185.0883504210401</v>
      </c>
      <c r="AF65" s="7">
        <v>2583.4056078715498</v>
      </c>
      <c r="AG65" s="7">
        <v>4972.1388978527802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O65" s="9">
        <f t="shared" ref="AO65:BY65" si="17">+C65-C21</f>
        <v>0</v>
      </c>
      <c r="AP65" s="7">
        <f t="shared" si="17"/>
        <v>48.792001736100019</v>
      </c>
      <c r="AQ65" s="7">
        <f t="shared" si="17"/>
        <v>24.196890860611006</v>
      </c>
      <c r="AR65" s="7">
        <f t="shared" si="17"/>
        <v>1137.78016715685</v>
      </c>
      <c r="AS65" s="7">
        <f t="shared" si="17"/>
        <v>143.82069686254499</v>
      </c>
      <c r="AT65" s="7">
        <f t="shared" si="17"/>
        <v>638.65591859118695</v>
      </c>
      <c r="AU65" s="7">
        <f t="shared" si="17"/>
        <v>657.74896811479573</v>
      </c>
      <c r="AV65" s="7">
        <f t="shared" si="17"/>
        <v>0</v>
      </c>
      <c r="AW65" s="7">
        <f t="shared" si="17"/>
        <v>0</v>
      </c>
      <c r="AX65" s="7">
        <f t="shared" si="17"/>
        <v>0</v>
      </c>
      <c r="AY65" s="7">
        <f t="shared" si="17"/>
        <v>726.80990730599353</v>
      </c>
      <c r="AZ65" s="7">
        <f t="shared" si="17"/>
        <v>36.807495770840006</v>
      </c>
      <c r="BA65" s="7">
        <f t="shared" si="17"/>
        <v>1064.77484884673</v>
      </c>
      <c r="BB65" s="7">
        <f t="shared" si="17"/>
        <v>1073.3146482755969</v>
      </c>
      <c r="BC65" s="7">
        <f t="shared" si="17"/>
        <v>1073.3135704608781</v>
      </c>
      <c r="BD65" s="7">
        <f t="shared" si="17"/>
        <v>1081.8582066946751</v>
      </c>
      <c r="BE65" s="7">
        <f t="shared" si="17"/>
        <v>1121.665514945935</v>
      </c>
      <c r="BF65" s="7">
        <f t="shared" si="17"/>
        <v>3281.6205249036493</v>
      </c>
      <c r="BG65" s="7">
        <f t="shared" si="17"/>
        <v>0</v>
      </c>
      <c r="BH65" s="7">
        <f t="shared" si="17"/>
        <v>524.53165047635298</v>
      </c>
      <c r="BI65" s="7">
        <f t="shared" si="17"/>
        <v>-193.235494997214</v>
      </c>
      <c r="BJ65" s="7">
        <f t="shared" si="17"/>
        <v>605.34662647230994</v>
      </c>
      <c r="BK65" s="7">
        <f t="shared" si="17"/>
        <v>1771.6031990454651</v>
      </c>
      <c r="BL65" s="7">
        <f t="shared" si="17"/>
        <v>677.80660430109992</v>
      </c>
      <c r="BM65" s="7">
        <f t="shared" si="17"/>
        <v>592.14248582678294</v>
      </c>
      <c r="BN65" s="7">
        <f t="shared" si="17"/>
        <v>1678.6151607783991</v>
      </c>
      <c r="BO65" s="7">
        <f t="shared" si="17"/>
        <v>1024.7244663843171</v>
      </c>
      <c r="BP65" s="7">
        <f t="shared" si="17"/>
        <v>1267.634520268294</v>
      </c>
      <c r="BQ65" s="7">
        <f t="shared" si="17"/>
        <v>930.44808261369417</v>
      </c>
      <c r="BR65" s="7">
        <f t="shared" si="17"/>
        <v>2335.1141680178898</v>
      </c>
      <c r="BS65" s="7">
        <f t="shared" si="17"/>
        <v>4714.8386282103775</v>
      </c>
      <c r="BT65" s="7">
        <f t="shared" si="17"/>
        <v>-467.84344297636397</v>
      </c>
      <c r="BU65" s="7">
        <f t="shared" si="17"/>
        <v>-2363.1628714777498</v>
      </c>
      <c r="BV65" s="7">
        <f t="shared" si="17"/>
        <v>-517.42557334384298</v>
      </c>
      <c r="BW65" s="7">
        <f t="shared" si="17"/>
        <v>-545.47832729936897</v>
      </c>
      <c r="BX65" s="7">
        <f t="shared" si="17"/>
        <v>-485.20546478393101</v>
      </c>
      <c r="BY65" s="7">
        <f t="shared" si="17"/>
        <v>-540.32875410602298</v>
      </c>
    </row>
    <row r="66" spans="1:77" x14ac:dyDescent="0.2">
      <c r="A66" s="12"/>
      <c r="B66" s="4" t="s">
        <v>129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O66" s="9">
        <f t="shared" ref="AO66:BY66" si="18">+C66-C22</f>
        <v>0</v>
      </c>
      <c r="AP66" s="7">
        <f t="shared" si="18"/>
        <v>0</v>
      </c>
      <c r="AQ66" s="7">
        <f t="shared" si="18"/>
        <v>0</v>
      </c>
      <c r="AR66" s="7">
        <f t="shared" si="18"/>
        <v>0</v>
      </c>
      <c r="AS66" s="7">
        <f t="shared" si="18"/>
        <v>0</v>
      </c>
      <c r="AT66" s="7">
        <f t="shared" si="18"/>
        <v>0</v>
      </c>
      <c r="AU66" s="7">
        <f t="shared" si="18"/>
        <v>0</v>
      </c>
      <c r="AV66" s="7">
        <f t="shared" si="18"/>
        <v>0</v>
      </c>
      <c r="AW66" s="7">
        <f t="shared" si="18"/>
        <v>0</v>
      </c>
      <c r="AX66" s="7">
        <f t="shared" si="18"/>
        <v>0</v>
      </c>
      <c r="AY66" s="7">
        <f t="shared" si="18"/>
        <v>0</v>
      </c>
      <c r="AZ66" s="7">
        <f t="shared" si="18"/>
        <v>0</v>
      </c>
      <c r="BA66" s="7">
        <f t="shared" si="18"/>
        <v>0</v>
      </c>
      <c r="BB66" s="7">
        <f t="shared" si="18"/>
        <v>0</v>
      </c>
      <c r="BC66" s="7">
        <f t="shared" si="18"/>
        <v>0</v>
      </c>
      <c r="BD66" s="7">
        <f t="shared" si="18"/>
        <v>-198.04674249299401</v>
      </c>
      <c r="BE66" s="7">
        <f t="shared" si="18"/>
        <v>-242.629740761238</v>
      </c>
      <c r="BF66" s="7">
        <f t="shared" si="18"/>
        <v>-2365.9837166284901</v>
      </c>
      <c r="BG66" s="7">
        <f t="shared" si="18"/>
        <v>-3311.1516499116801</v>
      </c>
      <c r="BH66" s="7">
        <f t="shared" si="18"/>
        <v>-131.24915112339599</v>
      </c>
      <c r="BI66" s="7">
        <f t="shared" si="18"/>
        <v>-134.08237857424999</v>
      </c>
      <c r="BJ66" s="7">
        <f t="shared" si="18"/>
        <v>-386.72327552735601</v>
      </c>
      <c r="BK66" s="7">
        <f t="shared" si="18"/>
        <v>-923.40293423569995</v>
      </c>
      <c r="BL66" s="7">
        <f t="shared" si="18"/>
        <v>-853.48863766387501</v>
      </c>
      <c r="BM66" s="7">
        <f t="shared" si="18"/>
        <v>-1493.4270567098999</v>
      </c>
      <c r="BN66" s="7">
        <f t="shared" si="18"/>
        <v>-150.52618129882401</v>
      </c>
      <c r="BO66" s="7">
        <f t="shared" si="18"/>
        <v>-1348.1502618882901</v>
      </c>
      <c r="BP66" s="7">
        <f t="shared" si="18"/>
        <v>-156.696430164411</v>
      </c>
      <c r="BQ66" s="7">
        <f t="shared" si="18"/>
        <v>-145.77936108936501</v>
      </c>
      <c r="BR66" s="7">
        <f t="shared" si="18"/>
        <v>-934.54085224155006</v>
      </c>
      <c r="BS66" s="7">
        <f t="shared" si="18"/>
        <v>-156.71807527764301</v>
      </c>
      <c r="BT66" s="7">
        <f t="shared" si="18"/>
        <v>-161.87713110754299</v>
      </c>
      <c r="BU66" s="7">
        <f t="shared" si="18"/>
        <v>-901.18967026800601</v>
      </c>
      <c r="BV66" s="7">
        <f t="shared" si="18"/>
        <v>-171.51685652470201</v>
      </c>
      <c r="BW66" s="7">
        <f t="shared" si="18"/>
        <v>-231.023726286618</v>
      </c>
      <c r="BX66" s="7">
        <f t="shared" si="18"/>
        <v>-364.61099038725501</v>
      </c>
      <c r="BY66" s="7">
        <f t="shared" si="18"/>
        <v>-366.76568906766499</v>
      </c>
    </row>
    <row r="67" spans="1:77" x14ac:dyDescent="0.2">
      <c r="A67" s="12"/>
      <c r="B67" s="4" t="s">
        <v>123</v>
      </c>
      <c r="C67" s="7">
        <v>2117.8583628678998</v>
      </c>
      <c r="D67" s="7">
        <v>0</v>
      </c>
      <c r="E67" s="7">
        <v>2774.0402116534801</v>
      </c>
      <c r="F67" s="7">
        <v>0</v>
      </c>
      <c r="G67" s="7">
        <v>0</v>
      </c>
      <c r="H67" s="7">
        <v>391.67381134682699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7844.8923091924098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O67" s="9">
        <f t="shared" ref="AO67:BY67" si="19">+C67-C23</f>
        <v>149.72288956145985</v>
      </c>
      <c r="AP67" s="7">
        <f t="shared" si="19"/>
        <v>0</v>
      </c>
      <c r="AQ67" s="7">
        <f t="shared" si="19"/>
        <v>263.34390348824991</v>
      </c>
      <c r="AR67" s="7">
        <f t="shared" si="19"/>
        <v>-273.78163329244001</v>
      </c>
      <c r="AS67" s="7">
        <f t="shared" si="19"/>
        <v>-904.54442029199799</v>
      </c>
      <c r="AT67" s="7">
        <f t="shared" si="19"/>
        <v>-1546.0667275453329</v>
      </c>
      <c r="AU67" s="7">
        <f t="shared" si="19"/>
        <v>-1392.0573124149601</v>
      </c>
      <c r="AV67" s="7">
        <f t="shared" si="19"/>
        <v>-422.21833755960103</v>
      </c>
      <c r="AW67" s="7">
        <f t="shared" si="19"/>
        <v>-444.991340923471</v>
      </c>
      <c r="AX67" s="7">
        <f t="shared" si="19"/>
        <v>-1163.2566578332001</v>
      </c>
      <c r="AY67" s="7">
        <f t="shared" si="19"/>
        <v>-2110.87830005767</v>
      </c>
      <c r="AZ67" s="7">
        <f t="shared" si="19"/>
        <v>-545.20256873383403</v>
      </c>
      <c r="BA67" s="7">
        <f t="shared" si="19"/>
        <v>-1450.6045580750399</v>
      </c>
      <c r="BB67" s="7">
        <f t="shared" si="19"/>
        <v>-678.79872901209797</v>
      </c>
      <c r="BC67" s="7">
        <f t="shared" si="19"/>
        <v>-768.35742827922104</v>
      </c>
      <c r="BD67" s="7">
        <f t="shared" si="19"/>
        <v>-743.80759202962895</v>
      </c>
      <c r="BE67" s="7">
        <f t="shared" si="19"/>
        <v>-1321.31691785352</v>
      </c>
      <c r="BF67" s="7">
        <f t="shared" si="19"/>
        <v>-6953.1294472698901</v>
      </c>
      <c r="BG67" s="7">
        <f t="shared" si="19"/>
        <v>-941.71995924059797</v>
      </c>
      <c r="BH67" s="7">
        <f t="shared" si="19"/>
        <v>-1419.2378549530499</v>
      </c>
      <c r="BI67" s="7">
        <f t="shared" si="19"/>
        <v>-905.29872950505796</v>
      </c>
      <c r="BJ67" s="7">
        <f t="shared" si="19"/>
        <v>-927.80659235031203</v>
      </c>
      <c r="BK67" s="7">
        <f t="shared" si="19"/>
        <v>-3805.84728335209</v>
      </c>
      <c r="BL67" s="7">
        <f t="shared" si="19"/>
        <v>-978.11511002900295</v>
      </c>
      <c r="BM67" s="7">
        <f t="shared" si="19"/>
        <v>-1003.12462305124</v>
      </c>
      <c r="BN67" s="7">
        <f t="shared" si="19"/>
        <v>-3001.5235509286899</v>
      </c>
      <c r="BO67" s="7">
        <f t="shared" si="19"/>
        <v>-1071.0294654655199</v>
      </c>
      <c r="BP67" s="7">
        <f t="shared" si="19"/>
        <v>-3623.5430818869199</v>
      </c>
      <c r="BQ67" s="7">
        <f t="shared" si="19"/>
        <v>-1497.6026157213901</v>
      </c>
      <c r="BR67" s="7">
        <f t="shared" si="19"/>
        <v>-2141.9450051787298</v>
      </c>
      <c r="BS67" s="7">
        <f t="shared" si="19"/>
        <v>-3175.8070876429401</v>
      </c>
      <c r="BT67" s="7">
        <f t="shared" si="19"/>
        <v>-2609.6136387660899</v>
      </c>
      <c r="BU67" s="7">
        <f t="shared" si="19"/>
        <v>-1655.1121680813501</v>
      </c>
      <c r="BV67" s="7">
        <f t="shared" si="19"/>
        <v>-1681.6372149434201</v>
      </c>
      <c r="BW67" s="7">
        <f t="shared" si="19"/>
        <v>-2410.1962237074699</v>
      </c>
      <c r="BX67" s="7">
        <f t="shared" si="19"/>
        <v>-3341.81014634948</v>
      </c>
      <c r="BY67" s="7">
        <f t="shared" si="19"/>
        <v>-1806.8418202958201</v>
      </c>
    </row>
    <row r="68" spans="1:77" x14ac:dyDescent="0.2">
      <c r="A68" s="6"/>
      <c r="B68" s="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O68" s="14">
        <f>+(SUM(AO48:AO67)*1000000)/1000000000</f>
        <v>0.15029077415777736</v>
      </c>
      <c r="AP68" s="14">
        <f t="shared" ref="AP68:BJ68" si="20">+(SUM(AP48:AP67)*1000000)/1000000000</f>
        <v>0.13856023476334231</v>
      </c>
      <c r="AQ68" s="14">
        <f t="shared" si="20"/>
        <v>0.4876382612666425</v>
      </c>
      <c r="AR68" s="14">
        <f t="shared" si="20"/>
        <v>3.0551040311062536</v>
      </c>
      <c r="AS68" s="14">
        <f t="shared" si="20"/>
        <v>2.3453094462400945</v>
      </c>
      <c r="AT68" s="14">
        <f t="shared" si="20"/>
        <v>1.7053144781874716</v>
      </c>
      <c r="AU68" s="14">
        <f t="shared" si="20"/>
        <v>1.9136425902796055</v>
      </c>
      <c r="AV68" s="14">
        <f t="shared" si="20"/>
        <v>3.3834046512883091</v>
      </c>
      <c r="AW68" s="14">
        <f t="shared" si="20"/>
        <v>3.4034084356415759</v>
      </c>
      <c r="AX68" s="14">
        <f t="shared" si="20"/>
        <v>2.6597471940754223</v>
      </c>
      <c r="AY68" s="14">
        <f t="shared" si="20"/>
        <v>1.3489471474970569</v>
      </c>
      <c r="AZ68" s="14">
        <f t="shared" si="20"/>
        <v>3.4049681453107268</v>
      </c>
      <c r="BA68" s="14">
        <f t="shared" si="20"/>
        <v>1.9319191327834018</v>
      </c>
      <c r="BB68" s="14">
        <f t="shared" si="20"/>
        <v>2.76432815610405</v>
      </c>
      <c r="BC68" s="14">
        <f t="shared" si="20"/>
        <v>2.7425053405187292</v>
      </c>
      <c r="BD68" s="14">
        <f t="shared" si="20"/>
        <v>2.6051663063946524</v>
      </c>
      <c r="BE68" s="14">
        <f t="shared" si="20"/>
        <v>2.0755490169875834</v>
      </c>
      <c r="BF68" s="14">
        <f t="shared" si="20"/>
        <v>-10.591866184878581</v>
      </c>
      <c r="BG68" s="14">
        <f t="shared" si="20"/>
        <v>-2.0686165540982921</v>
      </c>
      <c r="BH68" s="14">
        <f t="shared" si="20"/>
        <v>-1.2114288474209969</v>
      </c>
      <c r="BI68" s="14">
        <f t="shared" si="20"/>
        <v>0.69776628160138032</v>
      </c>
      <c r="BJ68" s="14">
        <f t="shared" si="20"/>
        <v>-2.8739823704525125</v>
      </c>
      <c r="BK68" s="14">
        <f>+(SUM(BK48:BK67)*1000000)/1000000000</f>
        <v>-1.0383507885477856</v>
      </c>
      <c r="BL68" s="14">
        <f t="shared" ref="BL68" si="21">+(SUM(BL48:BL67)*1000000)/1000000000</f>
        <v>1.0018127137961894</v>
      </c>
      <c r="BM68" s="14">
        <f t="shared" ref="BM68" si="22">+(SUM(BM48:BM67)*1000000)/1000000000</f>
        <v>0.2227026785412845</v>
      </c>
      <c r="BN68" s="14">
        <f t="shared" ref="BN68" si="23">+(SUM(BN48:BN67)*1000000)/1000000000</f>
        <v>0.63582562940157283</v>
      </c>
      <c r="BO68" s="14">
        <f t="shared" ref="BO68" si="24">+(SUM(BO48:BO67)*1000000)/1000000000</f>
        <v>0.69372691788868635</v>
      </c>
      <c r="BP68" s="14">
        <f t="shared" ref="BP68" si="25">+(SUM(BP48:BP67)*1000000)/1000000000</f>
        <v>-0.41185333279609676</v>
      </c>
      <c r="BQ68" s="14">
        <f t="shared" ref="BQ68" si="26">+(SUM(BQ48:BQ67)*1000000)/1000000000</f>
        <v>2.8641360390939137</v>
      </c>
      <c r="BR68" s="14">
        <f t="shared" ref="BR68" si="27">+(SUM(BR48:BR67)*1000000)/1000000000</f>
        <v>2.883167210085734</v>
      </c>
      <c r="BS68" s="14">
        <f t="shared" ref="BS68" si="28">+(SUM(BS48:BS67)*1000000)/1000000000</f>
        <v>12.200871730513914</v>
      </c>
      <c r="BT68" s="14">
        <f t="shared" ref="BT68" si="29">+(SUM(BT48:BT67)*1000000)/1000000000</f>
        <v>-2.6430487999293084</v>
      </c>
      <c r="BU68" s="14">
        <f t="shared" ref="BU68" si="30">+(SUM(BU48:BU67)*1000000)/1000000000</f>
        <v>1.9854966979047841</v>
      </c>
      <c r="BV68" s="14">
        <f t="shared" ref="BV68" si="31">+(SUM(BV48:BV67)*1000000)/1000000000</f>
        <v>0.5425698031852999</v>
      </c>
      <c r="BW68" s="14">
        <f t="shared" ref="BW68" si="32">+(SUM(BW48:BW67)*1000000)/1000000000</f>
        <v>0.96701059092194108</v>
      </c>
      <c r="BX68" s="14">
        <f t="shared" ref="BX68" si="33">+(SUM(BX48:BX67)*1000000)/1000000000</f>
        <v>-0.12136831156944981</v>
      </c>
      <c r="BY68" s="14">
        <f t="shared" ref="BY68" si="34">+(SUM(BY48:BY67)*1000000)/1000000000</f>
        <v>-1.255054696982651</v>
      </c>
    </row>
    <row r="69" spans="1:77" x14ac:dyDescent="0.2">
      <c r="A69" s="12" t="s">
        <v>1</v>
      </c>
      <c r="B69" s="4" t="s">
        <v>133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O69" s="7">
        <f t="shared" ref="AO69:BY69" si="35">+C69-C24</f>
        <v>0</v>
      </c>
      <c r="AP69" s="7">
        <f t="shared" si="35"/>
        <v>0</v>
      </c>
      <c r="AQ69" s="7">
        <f t="shared" si="35"/>
        <v>0</v>
      </c>
      <c r="AR69" s="7">
        <f t="shared" si="35"/>
        <v>0</v>
      </c>
      <c r="AS69" s="7">
        <f t="shared" si="35"/>
        <v>0</v>
      </c>
      <c r="AT69" s="7">
        <f t="shared" si="35"/>
        <v>0</v>
      </c>
      <c r="AU69" s="7">
        <f t="shared" si="35"/>
        <v>0</v>
      </c>
      <c r="AV69" s="7">
        <f t="shared" si="35"/>
        <v>0</v>
      </c>
      <c r="AW69" s="7">
        <f t="shared" si="35"/>
        <v>0</v>
      </c>
      <c r="AX69" s="7">
        <f t="shared" si="35"/>
        <v>0</v>
      </c>
      <c r="AY69" s="7">
        <f t="shared" si="35"/>
        <v>0</v>
      </c>
      <c r="AZ69" s="7">
        <f t="shared" si="35"/>
        <v>0</v>
      </c>
      <c r="BA69" s="7">
        <f t="shared" si="35"/>
        <v>0</v>
      </c>
      <c r="BB69" s="7">
        <f t="shared" si="35"/>
        <v>0</v>
      </c>
      <c r="BC69" s="7">
        <f t="shared" si="35"/>
        <v>0</v>
      </c>
      <c r="BD69" s="7">
        <f t="shared" si="35"/>
        <v>0</v>
      </c>
      <c r="BE69" s="7">
        <f t="shared" si="35"/>
        <v>0</v>
      </c>
      <c r="BF69" s="7">
        <f t="shared" si="35"/>
        <v>0</v>
      </c>
      <c r="BG69" s="7">
        <f t="shared" si="35"/>
        <v>0</v>
      </c>
      <c r="BH69" s="7">
        <f t="shared" si="35"/>
        <v>0</v>
      </c>
      <c r="BI69" s="7">
        <f t="shared" si="35"/>
        <v>0</v>
      </c>
      <c r="BJ69" s="7">
        <f t="shared" si="35"/>
        <v>0</v>
      </c>
      <c r="BK69" s="7">
        <f t="shared" si="35"/>
        <v>0</v>
      </c>
      <c r="BL69" s="7">
        <f t="shared" si="35"/>
        <v>0</v>
      </c>
      <c r="BM69" s="7">
        <f t="shared" si="35"/>
        <v>0</v>
      </c>
      <c r="BN69" s="7">
        <f t="shared" si="35"/>
        <v>0</v>
      </c>
      <c r="BO69" s="7">
        <f t="shared" si="35"/>
        <v>0</v>
      </c>
      <c r="BP69" s="7">
        <f t="shared" si="35"/>
        <v>0</v>
      </c>
      <c r="BQ69" s="7">
        <f t="shared" si="35"/>
        <v>0</v>
      </c>
      <c r="BR69" s="7">
        <f t="shared" si="35"/>
        <v>0</v>
      </c>
      <c r="BS69" s="7">
        <f t="shared" si="35"/>
        <v>0</v>
      </c>
      <c r="BT69" s="7">
        <f t="shared" si="35"/>
        <v>0</v>
      </c>
      <c r="BU69" s="7">
        <f t="shared" si="35"/>
        <v>0</v>
      </c>
      <c r="BV69" s="7">
        <f t="shared" si="35"/>
        <v>0</v>
      </c>
      <c r="BW69" s="7">
        <f t="shared" si="35"/>
        <v>0</v>
      </c>
      <c r="BX69" s="7">
        <f t="shared" si="35"/>
        <v>0</v>
      </c>
      <c r="BY69" s="7">
        <f t="shared" si="35"/>
        <v>0</v>
      </c>
    </row>
    <row r="70" spans="1:77" ht="15" customHeight="1" x14ac:dyDescent="0.2">
      <c r="A70" s="12"/>
      <c r="B70" s="4" t="s">
        <v>134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O70" s="7">
        <f t="shared" ref="AO70:BY70" si="36">+C70-C25</f>
        <v>0</v>
      </c>
      <c r="AP70" s="7">
        <f t="shared" si="36"/>
        <v>0</v>
      </c>
      <c r="AQ70" s="7">
        <f t="shared" si="36"/>
        <v>0</v>
      </c>
      <c r="AR70" s="7">
        <f t="shared" si="36"/>
        <v>0</v>
      </c>
      <c r="AS70" s="7">
        <f t="shared" si="36"/>
        <v>0</v>
      </c>
      <c r="AT70" s="7">
        <f t="shared" si="36"/>
        <v>0</v>
      </c>
      <c r="AU70" s="7">
        <f t="shared" si="36"/>
        <v>0</v>
      </c>
      <c r="AV70" s="7">
        <f t="shared" si="36"/>
        <v>0</v>
      </c>
      <c r="AW70" s="7">
        <f t="shared" si="36"/>
        <v>0</v>
      </c>
      <c r="AX70" s="7">
        <f t="shared" si="36"/>
        <v>0</v>
      </c>
      <c r="AY70" s="7">
        <f t="shared" si="36"/>
        <v>0</v>
      </c>
      <c r="AZ70" s="7">
        <f t="shared" si="36"/>
        <v>0</v>
      </c>
      <c r="BA70" s="7">
        <f t="shared" si="36"/>
        <v>0</v>
      </c>
      <c r="BB70" s="7">
        <f t="shared" si="36"/>
        <v>0</v>
      </c>
      <c r="BC70" s="7">
        <f t="shared" si="36"/>
        <v>0</v>
      </c>
      <c r="BD70" s="7">
        <f t="shared" si="36"/>
        <v>0</v>
      </c>
      <c r="BE70" s="7">
        <f t="shared" si="36"/>
        <v>0</v>
      </c>
      <c r="BF70" s="7">
        <f t="shared" si="36"/>
        <v>0</v>
      </c>
      <c r="BG70" s="7">
        <f t="shared" si="36"/>
        <v>0</v>
      </c>
      <c r="BH70" s="7">
        <f t="shared" si="36"/>
        <v>0</v>
      </c>
      <c r="BI70" s="7">
        <f t="shared" si="36"/>
        <v>0</v>
      </c>
      <c r="BJ70" s="7">
        <f t="shared" si="36"/>
        <v>0</v>
      </c>
      <c r="BK70" s="7">
        <f t="shared" si="36"/>
        <v>0</v>
      </c>
      <c r="BL70" s="7">
        <f t="shared" si="36"/>
        <v>0</v>
      </c>
      <c r="BM70" s="7">
        <f t="shared" si="36"/>
        <v>0</v>
      </c>
      <c r="BN70" s="7">
        <f t="shared" si="36"/>
        <v>0</v>
      </c>
      <c r="BO70" s="7">
        <f t="shared" si="36"/>
        <v>0</v>
      </c>
      <c r="BP70" s="7">
        <f t="shared" si="36"/>
        <v>0</v>
      </c>
      <c r="BQ70" s="7">
        <f t="shared" si="36"/>
        <v>0</v>
      </c>
      <c r="BR70" s="7">
        <f t="shared" si="36"/>
        <v>0</v>
      </c>
      <c r="BS70" s="7">
        <f t="shared" si="36"/>
        <v>0</v>
      </c>
      <c r="BT70" s="7">
        <f t="shared" si="36"/>
        <v>0</v>
      </c>
      <c r="BU70" s="7">
        <f t="shared" si="36"/>
        <v>0</v>
      </c>
      <c r="BV70" s="7">
        <f t="shared" si="36"/>
        <v>0</v>
      </c>
      <c r="BW70" s="7">
        <f t="shared" si="36"/>
        <v>0</v>
      </c>
      <c r="BX70" s="7">
        <f t="shared" si="36"/>
        <v>0</v>
      </c>
      <c r="BY70" s="7">
        <f t="shared" si="36"/>
        <v>0</v>
      </c>
    </row>
    <row r="71" spans="1:77" ht="15" customHeight="1" x14ac:dyDescent="0.2">
      <c r="A71" s="12"/>
      <c r="B71" s="4" t="s">
        <v>135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O71" s="7">
        <f t="shared" ref="AO71:BY71" si="37">+C71-C26</f>
        <v>0</v>
      </c>
      <c r="AP71" s="7">
        <f t="shared" si="37"/>
        <v>0</v>
      </c>
      <c r="AQ71" s="7">
        <f t="shared" si="37"/>
        <v>0</v>
      </c>
      <c r="AR71" s="7">
        <f t="shared" si="37"/>
        <v>0</v>
      </c>
      <c r="AS71" s="7">
        <f t="shared" si="37"/>
        <v>0</v>
      </c>
      <c r="AT71" s="7">
        <f t="shared" si="37"/>
        <v>0</v>
      </c>
      <c r="AU71" s="7">
        <f t="shared" si="37"/>
        <v>0</v>
      </c>
      <c r="AV71" s="7">
        <f t="shared" si="37"/>
        <v>0</v>
      </c>
      <c r="AW71" s="7">
        <f t="shared" si="37"/>
        <v>0</v>
      </c>
      <c r="AX71" s="7">
        <f t="shared" si="37"/>
        <v>0</v>
      </c>
      <c r="AY71" s="7">
        <f t="shared" si="37"/>
        <v>0</v>
      </c>
      <c r="AZ71" s="7">
        <f t="shared" si="37"/>
        <v>0</v>
      </c>
      <c r="BA71" s="7">
        <f t="shared" si="37"/>
        <v>0</v>
      </c>
      <c r="BB71" s="7">
        <f t="shared" si="37"/>
        <v>0</v>
      </c>
      <c r="BC71" s="7">
        <f t="shared" si="37"/>
        <v>0</v>
      </c>
      <c r="BD71" s="7">
        <f t="shared" si="37"/>
        <v>0</v>
      </c>
      <c r="BE71" s="7">
        <f t="shared" si="37"/>
        <v>0</v>
      </c>
      <c r="BF71" s="7">
        <f t="shared" si="37"/>
        <v>0</v>
      </c>
      <c r="BG71" s="7">
        <f t="shared" si="37"/>
        <v>0</v>
      </c>
      <c r="BH71" s="7">
        <f t="shared" si="37"/>
        <v>0</v>
      </c>
      <c r="BI71" s="7">
        <f t="shared" si="37"/>
        <v>0</v>
      </c>
      <c r="BJ71" s="7">
        <f t="shared" si="37"/>
        <v>0</v>
      </c>
      <c r="BK71" s="7">
        <f t="shared" si="37"/>
        <v>0</v>
      </c>
      <c r="BL71" s="7">
        <f t="shared" si="37"/>
        <v>0</v>
      </c>
      <c r="BM71" s="7">
        <f t="shared" si="37"/>
        <v>0</v>
      </c>
      <c r="BN71" s="7">
        <f t="shared" si="37"/>
        <v>0</v>
      </c>
      <c r="BO71" s="7">
        <f t="shared" si="37"/>
        <v>0</v>
      </c>
      <c r="BP71" s="7">
        <f t="shared" si="37"/>
        <v>0</v>
      </c>
      <c r="BQ71" s="7">
        <f t="shared" si="37"/>
        <v>0</v>
      </c>
      <c r="BR71" s="7">
        <f t="shared" si="37"/>
        <v>0</v>
      </c>
      <c r="BS71" s="7">
        <f t="shared" si="37"/>
        <v>0</v>
      </c>
      <c r="BT71" s="7">
        <f t="shared" si="37"/>
        <v>0</v>
      </c>
      <c r="BU71" s="7">
        <f t="shared" si="37"/>
        <v>0</v>
      </c>
      <c r="BV71" s="7">
        <f t="shared" si="37"/>
        <v>0</v>
      </c>
      <c r="BW71" s="7">
        <f t="shared" si="37"/>
        <v>0</v>
      </c>
      <c r="BX71" s="7">
        <f t="shared" si="37"/>
        <v>0</v>
      </c>
      <c r="BY71" s="7">
        <f t="shared" si="37"/>
        <v>0</v>
      </c>
    </row>
    <row r="72" spans="1:77" x14ac:dyDescent="0.2">
      <c r="A72" s="12"/>
      <c r="B72" s="4" t="s">
        <v>136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O72" s="7">
        <f t="shared" ref="AO72:BY72" si="38">+C72-C27</f>
        <v>0</v>
      </c>
      <c r="AP72" s="7">
        <f t="shared" si="38"/>
        <v>0</v>
      </c>
      <c r="AQ72" s="7">
        <f t="shared" si="38"/>
        <v>0</v>
      </c>
      <c r="AR72" s="7">
        <f t="shared" si="38"/>
        <v>0</v>
      </c>
      <c r="AS72" s="7">
        <f t="shared" si="38"/>
        <v>0</v>
      </c>
      <c r="AT72" s="7">
        <f t="shared" si="38"/>
        <v>0</v>
      </c>
      <c r="AU72" s="7">
        <f t="shared" si="38"/>
        <v>0</v>
      </c>
      <c r="AV72" s="7">
        <f t="shared" si="38"/>
        <v>0</v>
      </c>
      <c r="AW72" s="7">
        <f t="shared" si="38"/>
        <v>0</v>
      </c>
      <c r="AX72" s="7">
        <f t="shared" si="38"/>
        <v>0</v>
      </c>
      <c r="AY72" s="7">
        <f t="shared" si="38"/>
        <v>0</v>
      </c>
      <c r="AZ72" s="7">
        <f t="shared" si="38"/>
        <v>0</v>
      </c>
      <c r="BA72" s="7">
        <f t="shared" si="38"/>
        <v>0</v>
      </c>
      <c r="BB72" s="7">
        <f t="shared" si="38"/>
        <v>0</v>
      </c>
      <c r="BC72" s="7">
        <f t="shared" si="38"/>
        <v>0</v>
      </c>
      <c r="BD72" s="7">
        <f t="shared" si="38"/>
        <v>0</v>
      </c>
      <c r="BE72" s="7">
        <f t="shared" si="38"/>
        <v>0</v>
      </c>
      <c r="BF72" s="7">
        <f t="shared" si="38"/>
        <v>0</v>
      </c>
      <c r="BG72" s="7">
        <f t="shared" si="38"/>
        <v>0</v>
      </c>
      <c r="BH72" s="7">
        <f t="shared" si="38"/>
        <v>0</v>
      </c>
      <c r="BI72" s="7">
        <f t="shared" si="38"/>
        <v>0</v>
      </c>
      <c r="BJ72" s="7">
        <f t="shared" si="38"/>
        <v>0</v>
      </c>
      <c r="BK72" s="7">
        <f t="shared" si="38"/>
        <v>0</v>
      </c>
      <c r="BL72" s="7">
        <f t="shared" si="38"/>
        <v>0</v>
      </c>
      <c r="BM72" s="7">
        <f t="shared" si="38"/>
        <v>0</v>
      </c>
      <c r="BN72" s="7">
        <f t="shared" si="38"/>
        <v>0</v>
      </c>
      <c r="BO72" s="7">
        <f t="shared" si="38"/>
        <v>0</v>
      </c>
      <c r="BP72" s="7">
        <f t="shared" si="38"/>
        <v>0</v>
      </c>
      <c r="BQ72" s="7">
        <f t="shared" si="38"/>
        <v>0</v>
      </c>
      <c r="BR72" s="7">
        <f t="shared" si="38"/>
        <v>0</v>
      </c>
      <c r="BS72" s="7">
        <f t="shared" si="38"/>
        <v>0</v>
      </c>
      <c r="BT72" s="7">
        <f t="shared" si="38"/>
        <v>0</v>
      </c>
      <c r="BU72" s="7">
        <f t="shared" si="38"/>
        <v>0</v>
      </c>
      <c r="BV72" s="7">
        <f t="shared" si="38"/>
        <v>0</v>
      </c>
      <c r="BW72" s="7">
        <f t="shared" si="38"/>
        <v>0</v>
      </c>
      <c r="BX72" s="7">
        <f t="shared" si="38"/>
        <v>0</v>
      </c>
      <c r="BY72" s="7">
        <f t="shared" si="38"/>
        <v>0</v>
      </c>
    </row>
    <row r="73" spans="1:77" x14ac:dyDescent="0.2">
      <c r="A73" s="12"/>
      <c r="B73" s="4" t="s">
        <v>122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O73" s="7">
        <f t="shared" ref="AO73:BY73" si="39">+C73-C28</f>
        <v>0</v>
      </c>
      <c r="AP73" s="7">
        <f t="shared" si="39"/>
        <v>0</v>
      </c>
      <c r="AQ73" s="7">
        <f t="shared" si="39"/>
        <v>0</v>
      </c>
      <c r="AR73" s="7">
        <f t="shared" si="39"/>
        <v>0</v>
      </c>
      <c r="AS73" s="7">
        <f t="shared" si="39"/>
        <v>0</v>
      </c>
      <c r="AT73" s="7">
        <f t="shared" si="39"/>
        <v>0</v>
      </c>
      <c r="AU73" s="7">
        <f t="shared" si="39"/>
        <v>0</v>
      </c>
      <c r="AV73" s="7">
        <f t="shared" si="39"/>
        <v>0</v>
      </c>
      <c r="AW73" s="7">
        <f t="shared" si="39"/>
        <v>0</v>
      </c>
      <c r="AX73" s="7">
        <f t="shared" si="39"/>
        <v>0</v>
      </c>
      <c r="AY73" s="7">
        <f t="shared" si="39"/>
        <v>0</v>
      </c>
      <c r="AZ73" s="7">
        <f t="shared" si="39"/>
        <v>0</v>
      </c>
      <c r="BA73" s="7">
        <f t="shared" si="39"/>
        <v>0</v>
      </c>
      <c r="BB73" s="7">
        <f t="shared" si="39"/>
        <v>0</v>
      </c>
      <c r="BC73" s="7">
        <f t="shared" si="39"/>
        <v>0</v>
      </c>
      <c r="BD73" s="7">
        <f t="shared" si="39"/>
        <v>0</v>
      </c>
      <c r="BE73" s="7">
        <f t="shared" si="39"/>
        <v>0</v>
      </c>
      <c r="BF73" s="7">
        <f t="shared" si="39"/>
        <v>0</v>
      </c>
      <c r="BG73" s="7">
        <f t="shared" si="39"/>
        <v>0</v>
      </c>
      <c r="BH73" s="7">
        <f t="shared" si="39"/>
        <v>0</v>
      </c>
      <c r="BI73" s="7">
        <f t="shared" si="39"/>
        <v>0</v>
      </c>
      <c r="BJ73" s="7">
        <f t="shared" si="39"/>
        <v>0</v>
      </c>
      <c r="BK73" s="7">
        <f t="shared" si="39"/>
        <v>0</v>
      </c>
      <c r="BL73" s="7">
        <f t="shared" si="39"/>
        <v>0</v>
      </c>
      <c r="BM73" s="7">
        <f t="shared" si="39"/>
        <v>0</v>
      </c>
      <c r="BN73" s="7">
        <f t="shared" si="39"/>
        <v>0</v>
      </c>
      <c r="BO73" s="7">
        <f t="shared" si="39"/>
        <v>0</v>
      </c>
      <c r="BP73" s="7">
        <f t="shared" si="39"/>
        <v>0</v>
      </c>
      <c r="BQ73" s="7">
        <f t="shared" si="39"/>
        <v>0</v>
      </c>
      <c r="BR73" s="7">
        <f t="shared" si="39"/>
        <v>0</v>
      </c>
      <c r="BS73" s="7">
        <f t="shared" si="39"/>
        <v>0</v>
      </c>
      <c r="BT73" s="7">
        <f t="shared" si="39"/>
        <v>0</v>
      </c>
      <c r="BU73" s="7">
        <f t="shared" si="39"/>
        <v>0</v>
      </c>
      <c r="BV73" s="7">
        <f t="shared" si="39"/>
        <v>0</v>
      </c>
      <c r="BW73" s="7">
        <f t="shared" si="39"/>
        <v>0</v>
      </c>
      <c r="BX73" s="7">
        <f t="shared" si="39"/>
        <v>0</v>
      </c>
      <c r="BY73" s="7">
        <f t="shared" si="39"/>
        <v>0</v>
      </c>
    </row>
    <row r="74" spans="1:77" x14ac:dyDescent="0.2">
      <c r="A74" s="12"/>
      <c r="B74" s="4" t="s">
        <v>128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O74" s="7">
        <f t="shared" ref="AO74:BY74" si="40">+C74-C29</f>
        <v>0</v>
      </c>
      <c r="AP74" s="7">
        <f t="shared" si="40"/>
        <v>0</v>
      </c>
      <c r="AQ74" s="7">
        <f t="shared" si="40"/>
        <v>0</v>
      </c>
      <c r="AR74" s="7">
        <f t="shared" si="40"/>
        <v>0</v>
      </c>
      <c r="AS74" s="7">
        <f t="shared" si="40"/>
        <v>0</v>
      </c>
      <c r="AT74" s="7">
        <f t="shared" si="40"/>
        <v>0</v>
      </c>
      <c r="AU74" s="7">
        <f t="shared" si="40"/>
        <v>0</v>
      </c>
      <c r="AV74" s="7">
        <f t="shared" si="40"/>
        <v>0</v>
      </c>
      <c r="AW74" s="7">
        <f t="shared" si="40"/>
        <v>0</v>
      </c>
      <c r="AX74" s="7">
        <f t="shared" si="40"/>
        <v>0</v>
      </c>
      <c r="AY74" s="7">
        <f t="shared" si="40"/>
        <v>0</v>
      </c>
      <c r="AZ74" s="7">
        <f t="shared" si="40"/>
        <v>0</v>
      </c>
      <c r="BA74" s="7">
        <f t="shared" si="40"/>
        <v>0</v>
      </c>
      <c r="BB74" s="7">
        <f t="shared" si="40"/>
        <v>0</v>
      </c>
      <c r="BC74" s="7">
        <f t="shared" si="40"/>
        <v>0</v>
      </c>
      <c r="BD74" s="7">
        <f t="shared" si="40"/>
        <v>0</v>
      </c>
      <c r="BE74" s="7">
        <f t="shared" si="40"/>
        <v>0</v>
      </c>
      <c r="BF74" s="7">
        <f t="shared" si="40"/>
        <v>0</v>
      </c>
      <c r="BG74" s="7">
        <f t="shared" si="40"/>
        <v>0</v>
      </c>
      <c r="BH74" s="7">
        <f t="shared" si="40"/>
        <v>0</v>
      </c>
      <c r="BI74" s="7">
        <f t="shared" si="40"/>
        <v>0</v>
      </c>
      <c r="BJ74" s="7">
        <f t="shared" si="40"/>
        <v>0</v>
      </c>
      <c r="BK74" s="7">
        <f t="shared" si="40"/>
        <v>0</v>
      </c>
      <c r="BL74" s="7">
        <f t="shared" si="40"/>
        <v>0</v>
      </c>
      <c r="BM74" s="7">
        <f t="shared" si="40"/>
        <v>0</v>
      </c>
      <c r="BN74" s="7">
        <f t="shared" si="40"/>
        <v>0</v>
      </c>
      <c r="BO74" s="7">
        <f t="shared" si="40"/>
        <v>0</v>
      </c>
      <c r="BP74" s="7">
        <f t="shared" si="40"/>
        <v>0</v>
      </c>
      <c r="BQ74" s="7">
        <f t="shared" si="40"/>
        <v>0</v>
      </c>
      <c r="BR74" s="7">
        <f t="shared" si="40"/>
        <v>0</v>
      </c>
      <c r="BS74" s="7">
        <f t="shared" si="40"/>
        <v>0</v>
      </c>
      <c r="BT74" s="7">
        <f t="shared" si="40"/>
        <v>0</v>
      </c>
      <c r="BU74" s="7">
        <f t="shared" si="40"/>
        <v>0</v>
      </c>
      <c r="BV74" s="7">
        <f t="shared" si="40"/>
        <v>0</v>
      </c>
      <c r="BW74" s="7">
        <f t="shared" si="40"/>
        <v>0</v>
      </c>
      <c r="BX74" s="7">
        <f t="shared" si="40"/>
        <v>0</v>
      </c>
      <c r="BY74" s="7">
        <f t="shared" si="40"/>
        <v>0</v>
      </c>
    </row>
    <row r="75" spans="1:77" x14ac:dyDescent="0.2">
      <c r="A75" s="12"/>
      <c r="B75" s="4" t="s">
        <v>120</v>
      </c>
      <c r="C75" s="7">
        <v>19.177500187377401</v>
      </c>
      <c r="D75" s="7">
        <v>17.803062031316099</v>
      </c>
      <c r="E75" s="7">
        <v>16.912008990252001</v>
      </c>
      <c r="F75" s="7">
        <v>15.2003129588802</v>
      </c>
      <c r="G75" s="7">
        <v>190.8731700486</v>
      </c>
      <c r="H75" s="7">
        <v>12.3744733265018</v>
      </c>
      <c r="I75" s="7">
        <v>10.423323092292801</v>
      </c>
      <c r="J75" s="7">
        <v>8.2431505269302505</v>
      </c>
      <c r="K75" s="7">
        <v>7.6284696234662697</v>
      </c>
      <c r="L75" s="7">
        <v>6.9643068955528502</v>
      </c>
      <c r="M75" s="7">
        <v>4.38023132703945</v>
      </c>
      <c r="N75" s="7">
        <v>4.23209472400168</v>
      </c>
      <c r="O75" s="7">
        <v>4.13543354585582</v>
      </c>
      <c r="P75" s="7">
        <v>3.5400321525097702</v>
      </c>
      <c r="Q75" s="7">
        <v>3.4591777053213901</v>
      </c>
      <c r="R75" s="7">
        <v>2.8460393493501299</v>
      </c>
      <c r="S75" s="7">
        <v>2.1344643991660699</v>
      </c>
      <c r="T75" s="7">
        <v>1.3054737457809</v>
      </c>
      <c r="U75" s="7">
        <v>2.2333927654269399</v>
      </c>
      <c r="V75" s="7">
        <v>1.0393729044569999</v>
      </c>
      <c r="W75" s="7">
        <v>1.01563359489496</v>
      </c>
      <c r="X75" s="7">
        <v>0.99243649135890599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O75" s="7">
        <f t="shared" ref="AO75:BY75" si="41">+C75-C30</f>
        <v>0</v>
      </c>
      <c r="AP75" s="7">
        <f t="shared" si="41"/>
        <v>0</v>
      </c>
      <c r="AQ75" s="7">
        <f t="shared" si="41"/>
        <v>0</v>
      </c>
      <c r="AR75" s="7">
        <f t="shared" si="41"/>
        <v>-91.401173330634791</v>
      </c>
      <c r="AS75" s="7">
        <f t="shared" si="41"/>
        <v>0.52352317106800683</v>
      </c>
      <c r="AT75" s="7">
        <f t="shared" si="41"/>
        <v>0</v>
      </c>
      <c r="AU75" s="7">
        <f t="shared" si="41"/>
        <v>0</v>
      </c>
      <c r="AV75" s="7">
        <f t="shared" si="41"/>
        <v>0</v>
      </c>
      <c r="AW75" s="7">
        <f t="shared" si="41"/>
        <v>0</v>
      </c>
      <c r="AX75" s="7">
        <f t="shared" si="41"/>
        <v>0</v>
      </c>
      <c r="AY75" s="7">
        <f t="shared" si="41"/>
        <v>0</v>
      </c>
      <c r="AZ75" s="7">
        <f t="shared" si="41"/>
        <v>0</v>
      </c>
      <c r="BA75" s="7">
        <f t="shared" si="41"/>
        <v>0</v>
      </c>
      <c r="BB75" s="7">
        <f t="shared" si="41"/>
        <v>0</v>
      </c>
      <c r="BC75" s="7">
        <f t="shared" si="41"/>
        <v>0</v>
      </c>
      <c r="BD75" s="7">
        <f t="shared" si="41"/>
        <v>0</v>
      </c>
      <c r="BE75" s="7">
        <f t="shared" si="41"/>
        <v>0</v>
      </c>
      <c r="BF75" s="7">
        <f t="shared" si="41"/>
        <v>-0.95773608096441021</v>
      </c>
      <c r="BG75" s="7">
        <f t="shared" si="41"/>
        <v>0</v>
      </c>
      <c r="BH75" s="7">
        <f t="shared" si="41"/>
        <v>-0.79857877697606017</v>
      </c>
      <c r="BI75" s="7">
        <f t="shared" si="41"/>
        <v>-0.79857877697604995</v>
      </c>
      <c r="BJ75" s="7">
        <f t="shared" si="41"/>
        <v>-0.79857877697605406</v>
      </c>
      <c r="BK75" s="7">
        <f t="shared" si="41"/>
        <v>0</v>
      </c>
      <c r="BL75" s="7">
        <f t="shared" si="41"/>
        <v>0</v>
      </c>
      <c r="BM75" s="7">
        <f t="shared" si="41"/>
        <v>0</v>
      </c>
      <c r="BN75" s="7">
        <f t="shared" si="41"/>
        <v>0</v>
      </c>
      <c r="BO75" s="7">
        <f t="shared" si="41"/>
        <v>0</v>
      </c>
      <c r="BP75" s="7">
        <f t="shared" si="41"/>
        <v>0</v>
      </c>
      <c r="BQ75" s="7">
        <f t="shared" si="41"/>
        <v>0</v>
      </c>
      <c r="BR75" s="7">
        <f t="shared" si="41"/>
        <v>0</v>
      </c>
      <c r="BS75" s="7">
        <f t="shared" si="41"/>
        <v>0</v>
      </c>
      <c r="BT75" s="7">
        <f t="shared" si="41"/>
        <v>0</v>
      </c>
      <c r="BU75" s="7">
        <f t="shared" si="41"/>
        <v>0</v>
      </c>
      <c r="BV75" s="7">
        <f t="shared" si="41"/>
        <v>0</v>
      </c>
      <c r="BW75" s="7">
        <f t="shared" si="41"/>
        <v>0</v>
      </c>
      <c r="BX75" s="7">
        <f t="shared" si="41"/>
        <v>0</v>
      </c>
      <c r="BY75" s="7">
        <f t="shared" si="41"/>
        <v>0</v>
      </c>
    </row>
    <row r="76" spans="1:77" x14ac:dyDescent="0.2">
      <c r="A76" s="12"/>
      <c r="B76" s="4" t="s">
        <v>131</v>
      </c>
      <c r="C76" s="7">
        <v>1E-3</v>
      </c>
      <c r="D76" s="7">
        <v>1E-3</v>
      </c>
      <c r="E76" s="7">
        <v>1E-3</v>
      </c>
      <c r="F76" s="7">
        <v>1E-3</v>
      </c>
      <c r="G76" s="7">
        <v>1E-3</v>
      </c>
      <c r="H76" s="7">
        <v>1E-3</v>
      </c>
      <c r="I76" s="7">
        <v>1E-3</v>
      </c>
      <c r="J76" s="7">
        <v>1E-3</v>
      </c>
      <c r="K76" s="7">
        <v>1E-3</v>
      </c>
      <c r="L76" s="7">
        <v>1E-3</v>
      </c>
      <c r="M76" s="7">
        <v>1E-3</v>
      </c>
      <c r="N76" s="7">
        <v>1E-3</v>
      </c>
      <c r="O76" s="7">
        <v>1E-3</v>
      </c>
      <c r="P76" s="7">
        <v>1E-3</v>
      </c>
      <c r="Q76" s="7">
        <v>1E-3</v>
      </c>
      <c r="R76" s="7">
        <v>1E-3</v>
      </c>
      <c r="S76" s="7">
        <v>1E-3</v>
      </c>
      <c r="T76" s="7">
        <v>1E-3</v>
      </c>
      <c r="U76" s="7">
        <v>1E-3</v>
      </c>
      <c r="V76" s="7">
        <v>1E-3</v>
      </c>
      <c r="W76" s="7">
        <v>1E-3</v>
      </c>
      <c r="X76" s="7">
        <v>1E-3</v>
      </c>
      <c r="Y76" s="7">
        <v>1E-3</v>
      </c>
      <c r="Z76" s="7">
        <v>1E-3</v>
      </c>
      <c r="AA76" s="7">
        <v>1E-3</v>
      </c>
      <c r="AB76" s="7">
        <v>1E-3</v>
      </c>
      <c r="AC76" s="7">
        <v>1E-3</v>
      </c>
      <c r="AD76" s="7">
        <v>1E-3</v>
      </c>
      <c r="AE76" s="7">
        <v>1E-3</v>
      </c>
      <c r="AF76" s="7">
        <v>1E-3</v>
      </c>
      <c r="AG76" s="7">
        <v>1E-3</v>
      </c>
      <c r="AH76" s="7">
        <v>1E-3</v>
      </c>
      <c r="AI76" s="7">
        <v>1E-3</v>
      </c>
      <c r="AJ76" s="7">
        <v>1E-3</v>
      </c>
      <c r="AK76" s="7">
        <v>1E-3</v>
      </c>
      <c r="AL76" s="7">
        <v>1E-3</v>
      </c>
      <c r="AM76" s="7">
        <v>1E-3</v>
      </c>
      <c r="AO76" s="7">
        <f t="shared" ref="AO76:BY76" si="42">+C76-C31</f>
        <v>0</v>
      </c>
      <c r="AP76" s="7">
        <f t="shared" si="42"/>
        <v>0</v>
      </c>
      <c r="AQ76" s="7">
        <f t="shared" si="42"/>
        <v>0</v>
      </c>
      <c r="AR76" s="7">
        <f t="shared" si="42"/>
        <v>0</v>
      </c>
      <c r="AS76" s="7">
        <f t="shared" si="42"/>
        <v>0</v>
      </c>
      <c r="AT76" s="7">
        <f t="shared" si="42"/>
        <v>0</v>
      </c>
      <c r="AU76" s="7">
        <f t="shared" si="42"/>
        <v>0</v>
      </c>
      <c r="AV76" s="7">
        <f t="shared" si="42"/>
        <v>0</v>
      </c>
      <c r="AW76" s="7">
        <f t="shared" si="42"/>
        <v>0</v>
      </c>
      <c r="AX76" s="7">
        <f t="shared" si="42"/>
        <v>0</v>
      </c>
      <c r="AY76" s="7">
        <f t="shared" si="42"/>
        <v>0</v>
      </c>
      <c r="AZ76" s="7">
        <f t="shared" si="42"/>
        <v>0</v>
      </c>
      <c r="BA76" s="7">
        <f t="shared" si="42"/>
        <v>0</v>
      </c>
      <c r="BB76" s="7">
        <f t="shared" si="42"/>
        <v>0</v>
      </c>
      <c r="BC76" s="7">
        <f t="shared" si="42"/>
        <v>0</v>
      </c>
      <c r="BD76" s="7">
        <f t="shared" si="42"/>
        <v>0</v>
      </c>
      <c r="BE76" s="7">
        <f t="shared" si="42"/>
        <v>0</v>
      </c>
      <c r="BF76" s="7">
        <f t="shared" si="42"/>
        <v>0</v>
      </c>
      <c r="BG76" s="7">
        <f t="shared" si="42"/>
        <v>0</v>
      </c>
      <c r="BH76" s="7">
        <f t="shared" si="42"/>
        <v>0</v>
      </c>
      <c r="BI76" s="7">
        <f t="shared" si="42"/>
        <v>0</v>
      </c>
      <c r="BJ76" s="7">
        <f t="shared" si="42"/>
        <v>0</v>
      </c>
      <c r="BK76" s="7">
        <f t="shared" si="42"/>
        <v>0</v>
      </c>
      <c r="BL76" s="7">
        <f t="shared" si="42"/>
        <v>0</v>
      </c>
      <c r="BM76" s="7">
        <f t="shared" si="42"/>
        <v>0</v>
      </c>
      <c r="BN76" s="7">
        <f t="shared" si="42"/>
        <v>0</v>
      </c>
      <c r="BO76" s="7">
        <f t="shared" si="42"/>
        <v>0</v>
      </c>
      <c r="BP76" s="7">
        <f t="shared" si="42"/>
        <v>0</v>
      </c>
      <c r="BQ76" s="7">
        <f t="shared" si="42"/>
        <v>0</v>
      </c>
      <c r="BR76" s="7">
        <f t="shared" si="42"/>
        <v>0</v>
      </c>
      <c r="BS76" s="7">
        <f t="shared" si="42"/>
        <v>0</v>
      </c>
      <c r="BT76" s="7">
        <f t="shared" si="42"/>
        <v>0</v>
      </c>
      <c r="BU76" s="7">
        <f t="shared" si="42"/>
        <v>0</v>
      </c>
      <c r="BV76" s="7">
        <f t="shared" si="42"/>
        <v>0</v>
      </c>
      <c r="BW76" s="7">
        <f t="shared" si="42"/>
        <v>0</v>
      </c>
      <c r="BX76" s="7">
        <f t="shared" si="42"/>
        <v>0</v>
      </c>
      <c r="BY76" s="7">
        <f t="shared" si="42"/>
        <v>0</v>
      </c>
    </row>
    <row r="77" spans="1:77" x14ac:dyDescent="0.2">
      <c r="A77" s="12"/>
      <c r="B77" s="4" t="s">
        <v>119</v>
      </c>
      <c r="C77" s="7">
        <v>0.85170101042173296</v>
      </c>
      <c r="D77" s="7">
        <v>0.868527249393655</v>
      </c>
      <c r="E77" s="7">
        <v>0.88477941097730495</v>
      </c>
      <c r="F77" s="7">
        <v>4.0016657669473101</v>
      </c>
      <c r="G77" s="7">
        <v>7.4888427766961803</v>
      </c>
      <c r="H77" s="7">
        <v>11.8380465395201</v>
      </c>
      <c r="I77" s="7">
        <v>17.786633291309599</v>
      </c>
      <c r="J77" s="7">
        <v>24.4840599584568</v>
      </c>
      <c r="K77" s="7">
        <v>31.968711046167101</v>
      </c>
      <c r="L77" s="7">
        <v>40.291208900002601</v>
      </c>
      <c r="M77" s="7">
        <v>49.490109856986798</v>
      </c>
      <c r="N77" s="7">
        <v>59.600226756958897</v>
      </c>
      <c r="O77" s="7">
        <v>70.653816832621402</v>
      </c>
      <c r="P77" s="7">
        <v>82.653369823435895</v>
      </c>
      <c r="Q77" s="7">
        <v>95.647244031075005</v>
      </c>
      <c r="R77" s="7">
        <v>107.986875158001</v>
      </c>
      <c r="S77" s="7">
        <v>121.062219073181</v>
      </c>
      <c r="T77" s="7">
        <v>134.87828596353199</v>
      </c>
      <c r="U77" s="7">
        <v>149.356887965038</v>
      </c>
      <c r="V77" s="7">
        <v>164.526899833931</v>
      </c>
      <c r="W77" s="7">
        <v>180.36895582653699</v>
      </c>
      <c r="X77" s="7">
        <v>196.87766074963099</v>
      </c>
      <c r="Y77" s="7">
        <v>214.04840703659801</v>
      </c>
      <c r="Z77" s="7">
        <v>231.794118908282</v>
      </c>
      <c r="AA77" s="7">
        <v>250.159711487923</v>
      </c>
      <c r="AB77" s="7">
        <v>269.14933440021701</v>
      </c>
      <c r="AC77" s="7">
        <v>288.77593728546799</v>
      </c>
      <c r="AD77" s="7">
        <v>309.04942493239997</v>
      </c>
      <c r="AE77" s="7">
        <v>329.31101986285898</v>
      </c>
      <c r="AF77" s="7">
        <v>350.11495466797601</v>
      </c>
      <c r="AG77" s="7">
        <v>371.42660047484401</v>
      </c>
      <c r="AH77" s="7">
        <v>393.24268280124198</v>
      </c>
      <c r="AI77" s="7">
        <v>415.52395033243499</v>
      </c>
      <c r="AJ77" s="7">
        <v>439.73480144337799</v>
      </c>
      <c r="AK77" s="7">
        <v>463.04013443911401</v>
      </c>
      <c r="AL77" s="7">
        <v>487.86312057211001</v>
      </c>
      <c r="AM77" s="7">
        <v>510.21174503808999</v>
      </c>
      <c r="AO77" s="7">
        <f t="shared" ref="AO77:BY77" si="43">+C77-C32</f>
        <v>7.0918987804539091E-3</v>
      </c>
      <c r="AP77" s="7">
        <f t="shared" si="43"/>
        <v>1.4334856812786012E-2</v>
      </c>
      <c r="AQ77" s="7">
        <f t="shared" si="43"/>
        <v>2.2479668333257985E-2</v>
      </c>
      <c r="AR77" s="7">
        <f t="shared" si="43"/>
        <v>2.4068788481947601</v>
      </c>
      <c r="AS77" s="7">
        <f t="shared" si="43"/>
        <v>5.1399073363115404</v>
      </c>
      <c r="AT77" s="7">
        <f t="shared" si="43"/>
        <v>8.7135641683457301</v>
      </c>
      <c r="AU77" s="7">
        <f t="shared" si="43"/>
        <v>13.858513777627959</v>
      </c>
      <c r="AV77" s="7">
        <f t="shared" si="43"/>
        <v>19.717496083602171</v>
      </c>
      <c r="AW77" s="7">
        <f t="shared" si="43"/>
        <v>26.323201053387542</v>
      </c>
      <c r="AX77" s="7">
        <f t="shared" si="43"/>
        <v>33.716954175098031</v>
      </c>
      <c r="AY77" s="7">
        <f t="shared" si="43"/>
        <v>41.928907435894409</v>
      </c>
      <c r="AZ77" s="7">
        <f t="shared" si="43"/>
        <v>50.985307416980618</v>
      </c>
      <c r="BA77" s="7">
        <f t="shared" si="43"/>
        <v>60.909941672352531</v>
      </c>
      <c r="BB77" s="7">
        <f t="shared" si="43"/>
        <v>71.700133182376291</v>
      </c>
      <c r="BC77" s="7">
        <f t="shared" si="43"/>
        <v>83.394929099186612</v>
      </c>
      <c r="BD77" s="7">
        <f t="shared" si="43"/>
        <v>94.339259848074505</v>
      </c>
      <c r="BE77" s="7">
        <f t="shared" si="43"/>
        <v>105.9175217324304</v>
      </c>
      <c r="BF77" s="7">
        <f t="shared" si="43"/>
        <v>118.13024743035729</v>
      </c>
      <c r="BG77" s="7">
        <f t="shared" si="43"/>
        <v>130.90150499904971</v>
      </c>
      <c r="BH77" s="7">
        <f t="shared" si="43"/>
        <v>144.25555851854921</v>
      </c>
      <c r="BI77" s="7">
        <f t="shared" si="43"/>
        <v>158.1727518741086</v>
      </c>
      <c r="BJ77" s="7">
        <f t="shared" si="43"/>
        <v>172.6481781221332</v>
      </c>
      <c r="BK77" s="7">
        <f t="shared" si="43"/>
        <v>187.678456608407</v>
      </c>
      <c r="BL77" s="7">
        <f t="shared" si="43"/>
        <v>203.1865954097473</v>
      </c>
      <c r="BM77" s="7">
        <f t="shared" si="43"/>
        <v>219.216050631618</v>
      </c>
      <c r="BN77" s="7">
        <f t="shared" si="43"/>
        <v>235.77382971125272</v>
      </c>
      <c r="BO77" s="7">
        <f t="shared" si="43"/>
        <v>252.87557032072638</v>
      </c>
      <c r="BP77" s="7">
        <f t="shared" si="43"/>
        <v>270.53368875493379</v>
      </c>
      <c r="BQ77" s="7">
        <f t="shared" si="43"/>
        <v>288.12041185778548</v>
      </c>
      <c r="BR77" s="7">
        <f t="shared" si="43"/>
        <v>306.17813821037191</v>
      </c>
      <c r="BS77" s="7">
        <f t="shared" si="43"/>
        <v>324.67401261139281</v>
      </c>
      <c r="BT77" s="7">
        <f t="shared" si="43"/>
        <v>343.60585168184787</v>
      </c>
      <c r="BU77" s="7">
        <f t="shared" si="43"/>
        <v>362.93549697979461</v>
      </c>
      <c r="BV77" s="7">
        <f t="shared" si="43"/>
        <v>384.12781453390289</v>
      </c>
      <c r="BW77" s="7">
        <f t="shared" si="43"/>
        <v>404.3474455649087</v>
      </c>
      <c r="BX77" s="7">
        <f t="shared" si="43"/>
        <v>426.01702778061042</v>
      </c>
      <c r="BY77" s="7">
        <f t="shared" si="43"/>
        <v>445.14341015755031</v>
      </c>
    </row>
    <row r="78" spans="1:77" x14ac:dyDescent="0.2">
      <c r="A78" s="12"/>
      <c r="B78" s="4" t="s">
        <v>125</v>
      </c>
      <c r="C78" s="7">
        <v>204.863488178951</v>
      </c>
      <c r="D78" s="7">
        <v>202.085326049515</v>
      </c>
      <c r="E78" s="7">
        <v>197.73093742853999</v>
      </c>
      <c r="F78" s="7">
        <v>79.646600903585096</v>
      </c>
      <c r="G78" s="7">
        <v>86.088018864935293</v>
      </c>
      <c r="H78" s="7">
        <v>92.339878629027794</v>
      </c>
      <c r="I78" s="7">
        <v>99.101492378192503</v>
      </c>
      <c r="J78" s="7">
        <v>105.82210856519799</v>
      </c>
      <c r="K78" s="7">
        <v>112.440431968007</v>
      </c>
      <c r="L78" s="7">
        <v>118.99427934456401</v>
      </c>
      <c r="M78" s="7">
        <v>125.478294120501</v>
      </c>
      <c r="N78" s="7">
        <v>131.88699213672899</v>
      </c>
      <c r="O78" s="7">
        <v>138.229714215228</v>
      </c>
      <c r="P78" s="7">
        <v>144.49043801581999</v>
      </c>
      <c r="Q78" s="7">
        <v>150.69776364362801</v>
      </c>
      <c r="R78" s="7">
        <v>156.86461082834899</v>
      </c>
      <c r="S78" s="7">
        <v>162.978400070785</v>
      </c>
      <c r="T78" s="7">
        <v>169.019220416498</v>
      </c>
      <c r="U78" s="7">
        <v>174.88031840403201</v>
      </c>
      <c r="V78" s="7">
        <v>180.55315700167901</v>
      </c>
      <c r="W78" s="7">
        <v>185.99640155850901</v>
      </c>
      <c r="X78" s="7">
        <v>191.21067604871499</v>
      </c>
      <c r="Y78" s="7">
        <v>196.20809627793699</v>
      </c>
      <c r="Z78" s="7">
        <v>200.931545417439</v>
      </c>
      <c r="AA78" s="7">
        <v>205.374790527089</v>
      </c>
      <c r="AB78" s="7">
        <v>209.54764632243399</v>
      </c>
      <c r="AC78" s="7">
        <v>213.46772143122701</v>
      </c>
      <c r="AD78" s="7">
        <v>217.14239113148699</v>
      </c>
      <c r="AE78" s="7">
        <v>225.42190595067399</v>
      </c>
      <c r="AF78" s="7">
        <v>233.54536881800701</v>
      </c>
      <c r="AG78" s="7">
        <v>241.49703694176</v>
      </c>
      <c r="AH78" s="7">
        <v>249.08908924593999</v>
      </c>
      <c r="AI78" s="7">
        <v>256.34898188290703</v>
      </c>
      <c r="AJ78" s="7">
        <v>279.54006835541497</v>
      </c>
      <c r="AK78" s="7">
        <v>294.60900001053801</v>
      </c>
      <c r="AL78" s="7">
        <v>324.492354262719</v>
      </c>
      <c r="AM78" s="7">
        <v>320.16121280451898</v>
      </c>
      <c r="AO78" s="7">
        <f t="shared" ref="AO78:BY78" si="44">+C78-C33</f>
        <v>2.7244415649988696E-2</v>
      </c>
      <c r="AP78" s="7">
        <f t="shared" si="44"/>
        <v>7.2703755747994592E-2</v>
      </c>
      <c r="AQ78" s="7">
        <f t="shared" si="44"/>
        <v>0.10871421278798721</v>
      </c>
      <c r="AR78" s="7">
        <f t="shared" si="44"/>
        <v>-6.3568695280015106</v>
      </c>
      <c r="AS78" s="7">
        <f t="shared" si="44"/>
        <v>16.70239020354289</v>
      </c>
      <c r="AT78" s="7">
        <f t="shared" si="44"/>
        <v>24.172838451666792</v>
      </c>
      <c r="AU78" s="7">
        <f t="shared" si="44"/>
        <v>31.519765856444508</v>
      </c>
      <c r="AV78" s="7">
        <f t="shared" si="44"/>
        <v>38.755834019658991</v>
      </c>
      <c r="AW78" s="7">
        <f t="shared" si="44"/>
        <v>45.847411777674608</v>
      </c>
      <c r="AX78" s="7">
        <f t="shared" si="44"/>
        <v>52.810329297986911</v>
      </c>
      <c r="AY78" s="7">
        <f t="shared" si="44"/>
        <v>59.638304630684601</v>
      </c>
      <c r="AZ78" s="7">
        <f t="shared" si="44"/>
        <v>66.331495378466187</v>
      </c>
      <c r="BA78" s="7">
        <f t="shared" si="44"/>
        <v>72.893211207133504</v>
      </c>
      <c r="BB78" s="7">
        <f t="shared" si="44"/>
        <v>79.316032229576592</v>
      </c>
      <c r="BC78" s="7">
        <f t="shared" si="44"/>
        <v>85.613623557309111</v>
      </c>
      <c r="BD78" s="7">
        <f t="shared" si="44"/>
        <v>91.797816078032781</v>
      </c>
      <c r="BE78" s="7">
        <f t="shared" si="44"/>
        <v>97.859782899551803</v>
      </c>
      <c r="BF78" s="7">
        <f t="shared" si="44"/>
        <v>103.78819057376739</v>
      </c>
      <c r="BG78" s="7">
        <f t="shared" si="44"/>
        <v>109.51933054221621</v>
      </c>
      <c r="BH78" s="7">
        <f t="shared" si="44"/>
        <v>115.04237970309811</v>
      </c>
      <c r="BI78" s="7">
        <f t="shared" si="44"/>
        <v>120.32753032479761</v>
      </c>
      <c r="BJ78" s="7">
        <f t="shared" si="44"/>
        <v>125.37354679409408</v>
      </c>
      <c r="BK78" s="7">
        <f t="shared" si="44"/>
        <v>130.19059270437367</v>
      </c>
      <c r="BL78" s="7">
        <f t="shared" si="44"/>
        <v>134.7294279258017</v>
      </c>
      <c r="BM78" s="7">
        <f t="shared" si="44"/>
        <v>138.98162061927172</v>
      </c>
      <c r="BN78" s="7">
        <f t="shared" si="44"/>
        <v>142.95014763703648</v>
      </c>
      <c r="BO78" s="7">
        <f t="shared" si="44"/>
        <v>146.64379133746462</v>
      </c>
      <c r="BP78" s="7">
        <f t="shared" si="44"/>
        <v>150.06515856805439</v>
      </c>
      <c r="BQ78" s="7">
        <f t="shared" si="44"/>
        <v>156.56530750275789</v>
      </c>
      <c r="BR78" s="7">
        <f t="shared" si="44"/>
        <v>162.88968608012749</v>
      </c>
      <c r="BS78" s="7">
        <f t="shared" si="44"/>
        <v>169.03618574442629</v>
      </c>
      <c r="BT78" s="7">
        <f t="shared" si="44"/>
        <v>174.81715952351939</v>
      </c>
      <c r="BU78" s="7">
        <f t="shared" si="44"/>
        <v>180.27296001545542</v>
      </c>
      <c r="BV78" s="7">
        <f t="shared" si="44"/>
        <v>201.66592227220968</v>
      </c>
      <c r="BW78" s="7">
        <f t="shared" si="44"/>
        <v>214.93456098645561</v>
      </c>
      <c r="BX78" s="7">
        <f t="shared" si="44"/>
        <v>243.01480191607331</v>
      </c>
      <c r="BY78" s="7">
        <f t="shared" si="44"/>
        <v>236.86989148856077</v>
      </c>
    </row>
    <row r="79" spans="1:77" x14ac:dyDescent="0.2">
      <c r="A79" s="12"/>
      <c r="B79" s="4" t="s">
        <v>137</v>
      </c>
      <c r="C79" s="7">
        <v>20.939844196821301</v>
      </c>
      <c r="D79" s="7">
        <v>41.787528071059</v>
      </c>
      <c r="E79" s="7">
        <v>62.398220500348302</v>
      </c>
      <c r="F79" s="7">
        <v>111.843321298333</v>
      </c>
      <c r="G79" s="7">
        <v>153.441049320643</v>
      </c>
      <c r="H79" s="7">
        <v>188.058331332412</v>
      </c>
      <c r="I79" s="7">
        <v>240.34491801838499</v>
      </c>
      <c r="J79" s="7">
        <v>282.83192818009002</v>
      </c>
      <c r="K79" s="7">
        <v>316.51191612231901</v>
      </c>
      <c r="L79" s="7">
        <v>342.593498500544</v>
      </c>
      <c r="M79" s="7">
        <v>362.15459237230499</v>
      </c>
      <c r="N79" s="7">
        <v>376.10351993736401</v>
      </c>
      <c r="O79" s="7">
        <v>385.20927211514402</v>
      </c>
      <c r="P79" s="7">
        <v>390.12789375167802</v>
      </c>
      <c r="Q79" s="7">
        <v>391.41599941220198</v>
      </c>
      <c r="R79" s="7">
        <v>391.41599941220198</v>
      </c>
      <c r="S79" s="7">
        <v>391.41599941220198</v>
      </c>
      <c r="T79" s="7">
        <v>391.41599941220198</v>
      </c>
      <c r="U79" s="7">
        <v>391.41599941220198</v>
      </c>
      <c r="V79" s="7">
        <v>391.41599941220198</v>
      </c>
      <c r="W79" s="7">
        <v>391.41599941220198</v>
      </c>
      <c r="X79" s="7">
        <v>391.41599941220198</v>
      </c>
      <c r="Y79" s="7">
        <v>391.41599941220198</v>
      </c>
      <c r="Z79" s="7">
        <v>391.41599941220198</v>
      </c>
      <c r="AA79" s="7">
        <v>391.41599941220198</v>
      </c>
      <c r="AB79" s="7">
        <v>391.41599941220198</v>
      </c>
      <c r="AC79" s="7">
        <v>391.41599941220198</v>
      </c>
      <c r="AD79" s="7">
        <v>391.41599941220198</v>
      </c>
      <c r="AE79" s="7">
        <v>391.41599941220198</v>
      </c>
      <c r="AF79" s="7">
        <v>391.41599941220198</v>
      </c>
      <c r="AG79" s="7">
        <v>391.41599941220198</v>
      </c>
      <c r="AH79" s="7">
        <v>391.41599941220198</v>
      </c>
      <c r="AI79" s="7">
        <v>391.41599941220198</v>
      </c>
      <c r="AJ79" s="7">
        <v>391.41599941220198</v>
      </c>
      <c r="AK79" s="7">
        <v>391.41599941220198</v>
      </c>
      <c r="AL79" s="7">
        <v>391.41599941220198</v>
      </c>
      <c r="AM79" s="7">
        <v>391.41599941220198</v>
      </c>
      <c r="AO79" s="7">
        <f t="shared" ref="AO79:BY79" si="45">+C79-C34</f>
        <v>20.939844196821301</v>
      </c>
      <c r="AP79" s="7">
        <f t="shared" si="45"/>
        <v>41.787528071059</v>
      </c>
      <c r="AQ79" s="7">
        <f t="shared" si="45"/>
        <v>62.398220500348302</v>
      </c>
      <c r="AR79" s="7">
        <f t="shared" si="45"/>
        <v>111.843321298333</v>
      </c>
      <c r="AS79" s="7">
        <f t="shared" si="45"/>
        <v>153.441049320643</v>
      </c>
      <c r="AT79" s="7">
        <f t="shared" si="45"/>
        <v>188.058331332412</v>
      </c>
      <c r="AU79" s="7">
        <f t="shared" si="45"/>
        <v>202.90830479303247</v>
      </c>
      <c r="AV79" s="7">
        <f t="shared" si="45"/>
        <v>208.44329154692392</v>
      </c>
      <c r="AW79" s="7">
        <f t="shared" si="45"/>
        <v>205.61076033583001</v>
      </c>
      <c r="AX79" s="7">
        <f t="shared" si="45"/>
        <v>195.576192713632</v>
      </c>
      <c r="AY79" s="7">
        <f t="shared" si="45"/>
        <v>179.376270383025</v>
      </c>
      <c r="AZ79" s="7">
        <f t="shared" si="45"/>
        <v>157.87994097708801</v>
      </c>
      <c r="BA79" s="7">
        <f t="shared" si="45"/>
        <v>131.81865592468202</v>
      </c>
      <c r="BB79" s="7">
        <f t="shared" si="45"/>
        <v>101.81274235289601</v>
      </c>
      <c r="BC79" s="7">
        <f t="shared" si="45"/>
        <v>68.384918708975988</v>
      </c>
      <c r="BD79" s="7">
        <f t="shared" si="45"/>
        <v>33.845535122630963</v>
      </c>
      <c r="BE79" s="7">
        <f t="shared" si="45"/>
        <v>-0.52351722678304213</v>
      </c>
      <c r="BF79" s="7">
        <f t="shared" si="45"/>
        <v>-34.694074191456025</v>
      </c>
      <c r="BG79" s="7">
        <f t="shared" si="45"/>
        <v>-68.476964922277034</v>
      </c>
      <c r="BH79" s="7">
        <f t="shared" si="45"/>
        <v>-101.80252508317903</v>
      </c>
      <c r="BI79" s="7">
        <f t="shared" si="45"/>
        <v>-134.56110983000502</v>
      </c>
      <c r="BJ79" s="7">
        <f t="shared" si="45"/>
        <v>-166.71266482090601</v>
      </c>
      <c r="BK79" s="7">
        <f t="shared" si="45"/>
        <v>-198.21996547736506</v>
      </c>
      <c r="BL79" s="7">
        <f t="shared" si="45"/>
        <v>-228.99818997639301</v>
      </c>
      <c r="BM79" s="7">
        <f t="shared" si="45"/>
        <v>-258.98903915581405</v>
      </c>
      <c r="BN79" s="7">
        <f t="shared" si="45"/>
        <v>-288.18778028836601</v>
      </c>
      <c r="BO79" s="7">
        <f t="shared" si="45"/>
        <v>-316.60904526421501</v>
      </c>
      <c r="BP79" s="7">
        <f t="shared" si="45"/>
        <v>-344.24345107634298</v>
      </c>
      <c r="BQ79" s="7">
        <f t="shared" si="45"/>
        <v>-384.349624674155</v>
      </c>
      <c r="BR79" s="7">
        <f t="shared" si="45"/>
        <v>-424.92693067742397</v>
      </c>
      <c r="BS79" s="7">
        <f t="shared" si="45"/>
        <v>-465.85484013548097</v>
      </c>
      <c r="BT79" s="7">
        <f t="shared" si="45"/>
        <v>-507.10869195910499</v>
      </c>
      <c r="BU79" s="7">
        <f t="shared" si="45"/>
        <v>-548.56074539108204</v>
      </c>
      <c r="BV79" s="7">
        <f t="shared" si="45"/>
        <v>-590.18944487486397</v>
      </c>
      <c r="BW79" s="7">
        <f t="shared" si="45"/>
        <v>-632.03468075244791</v>
      </c>
      <c r="BX79" s="7">
        <f t="shared" si="45"/>
        <v>-674.07765205274814</v>
      </c>
      <c r="BY79" s="7">
        <f t="shared" si="45"/>
        <v>-716.36328118131814</v>
      </c>
    </row>
    <row r="80" spans="1:77" x14ac:dyDescent="0.2">
      <c r="A80" s="12"/>
      <c r="B80" s="4" t="s">
        <v>138</v>
      </c>
      <c r="C80" s="7">
        <v>0</v>
      </c>
      <c r="D80" s="7">
        <v>0</v>
      </c>
      <c r="E80" s="7">
        <v>0</v>
      </c>
      <c r="F80" s="7">
        <v>6.2408901752373804</v>
      </c>
      <c r="G80" s="7">
        <v>17.615588743759599</v>
      </c>
      <c r="H80" s="7">
        <v>33.341601511496101</v>
      </c>
      <c r="I80" s="7">
        <v>58.545556953197803</v>
      </c>
      <c r="J80" s="7">
        <v>88.823250172233202</v>
      </c>
      <c r="K80" s="7">
        <v>123.147981016872</v>
      </c>
      <c r="L80" s="7">
        <v>160.722875839773</v>
      </c>
      <c r="M80" s="7">
        <v>200.9032775204</v>
      </c>
      <c r="N80" s="7">
        <v>243.151992095613</v>
      </c>
      <c r="O80" s="7">
        <v>287.01867334069999</v>
      </c>
      <c r="P80" s="7">
        <v>332.12517227739102</v>
      </c>
      <c r="Q80" s="7">
        <v>378.14766044907799</v>
      </c>
      <c r="R80" s="7">
        <v>424.80980583533102</v>
      </c>
      <c r="S80" s="7">
        <v>471.84972084318002</v>
      </c>
      <c r="T80" s="7">
        <v>519.002945730222</v>
      </c>
      <c r="U80" s="7">
        <v>574.35661902691595</v>
      </c>
      <c r="V80" s="7">
        <v>649.44604013126104</v>
      </c>
      <c r="W80" s="7">
        <v>657.68011848943797</v>
      </c>
      <c r="X80" s="7">
        <v>702.17374702944505</v>
      </c>
      <c r="Y80" s="7">
        <v>820.81070906101104</v>
      </c>
      <c r="Z80" s="7">
        <v>854.13577949093599</v>
      </c>
      <c r="AA80" s="7">
        <v>854.13577949093599</v>
      </c>
      <c r="AB80" s="7">
        <v>908.580768602136</v>
      </c>
      <c r="AC80" s="7">
        <v>908.580768602136</v>
      </c>
      <c r="AD80" s="7">
        <v>978.623363610718</v>
      </c>
      <c r="AE80" s="7">
        <v>978.623363610718</v>
      </c>
      <c r="AF80" s="7">
        <v>1016.39985077228</v>
      </c>
      <c r="AG80" s="7">
        <v>1072.7399262720901</v>
      </c>
      <c r="AH80" s="7">
        <v>1107.0832139302499</v>
      </c>
      <c r="AI80" s="7">
        <v>1138.3290349701599</v>
      </c>
      <c r="AJ80" s="7">
        <v>1166.61510001397</v>
      </c>
      <c r="AK80" s="7">
        <v>1191.65588126377</v>
      </c>
      <c r="AL80" s="7">
        <v>1212.79458804003</v>
      </c>
      <c r="AM80" s="7">
        <v>1229.59809107413</v>
      </c>
      <c r="AO80" s="7">
        <f t="shared" ref="AO80:BY80" si="46">+C80-C35</f>
        <v>0</v>
      </c>
      <c r="AP80" s="7">
        <f t="shared" si="46"/>
        <v>0</v>
      </c>
      <c r="AQ80" s="7">
        <f t="shared" si="46"/>
        <v>0</v>
      </c>
      <c r="AR80" s="7">
        <f t="shared" si="46"/>
        <v>6.2408901752373804</v>
      </c>
      <c r="AS80" s="7">
        <f t="shared" si="46"/>
        <v>17.615588743759599</v>
      </c>
      <c r="AT80" s="7">
        <f t="shared" si="46"/>
        <v>33.341601511496101</v>
      </c>
      <c r="AU80" s="7">
        <f t="shared" si="46"/>
        <v>58.545556953197803</v>
      </c>
      <c r="AV80" s="7">
        <f t="shared" si="46"/>
        <v>88.823250172233202</v>
      </c>
      <c r="AW80" s="7">
        <f t="shared" si="46"/>
        <v>123.147981016872</v>
      </c>
      <c r="AX80" s="7">
        <f t="shared" si="46"/>
        <v>160.722875839773</v>
      </c>
      <c r="AY80" s="7">
        <f t="shared" si="46"/>
        <v>200.9032775204</v>
      </c>
      <c r="AZ80" s="7">
        <f t="shared" si="46"/>
        <v>243.151992095613</v>
      </c>
      <c r="BA80" s="7">
        <f t="shared" si="46"/>
        <v>287.01867334069999</v>
      </c>
      <c r="BB80" s="7">
        <f t="shared" si="46"/>
        <v>332.12517227739102</v>
      </c>
      <c r="BC80" s="7">
        <f t="shared" si="46"/>
        <v>378.14766044907799</v>
      </c>
      <c r="BD80" s="7">
        <f t="shared" si="46"/>
        <v>424.80980583533102</v>
      </c>
      <c r="BE80" s="7">
        <f t="shared" si="46"/>
        <v>471.84972084318002</v>
      </c>
      <c r="BF80" s="7">
        <f t="shared" si="46"/>
        <v>519.002945730222</v>
      </c>
      <c r="BG80" s="7">
        <f t="shared" si="46"/>
        <v>574.35661902691595</v>
      </c>
      <c r="BH80" s="7">
        <f t="shared" si="46"/>
        <v>649.44604013126104</v>
      </c>
      <c r="BI80" s="7">
        <f t="shared" si="46"/>
        <v>657.68011848943797</v>
      </c>
      <c r="BJ80" s="7">
        <f t="shared" si="46"/>
        <v>702.17374702944505</v>
      </c>
      <c r="BK80" s="7">
        <f t="shared" si="46"/>
        <v>820.81070906101104</v>
      </c>
      <c r="BL80" s="7">
        <f t="shared" si="46"/>
        <v>854.13577949093599</v>
      </c>
      <c r="BM80" s="7">
        <f t="shared" si="46"/>
        <v>854.13577949093599</v>
      </c>
      <c r="BN80" s="7">
        <f t="shared" si="46"/>
        <v>908.580768602136</v>
      </c>
      <c r="BO80" s="7">
        <f t="shared" si="46"/>
        <v>908.580768602136</v>
      </c>
      <c r="BP80" s="7">
        <f t="shared" si="46"/>
        <v>978.623363610718</v>
      </c>
      <c r="BQ80" s="7">
        <f t="shared" si="46"/>
        <v>978.623363610718</v>
      </c>
      <c r="BR80" s="7">
        <f t="shared" si="46"/>
        <v>1016.39985077228</v>
      </c>
      <c r="BS80" s="7">
        <f t="shared" si="46"/>
        <v>1072.7399262720901</v>
      </c>
      <c r="BT80" s="7">
        <f t="shared" si="46"/>
        <v>1107.0832139302499</v>
      </c>
      <c r="BU80" s="7">
        <f t="shared" si="46"/>
        <v>1138.3290349701599</v>
      </c>
      <c r="BV80" s="7">
        <f t="shared" si="46"/>
        <v>1166.61510001397</v>
      </c>
      <c r="BW80" s="7">
        <f t="shared" si="46"/>
        <v>1191.65588126377</v>
      </c>
      <c r="BX80" s="7">
        <f t="shared" si="46"/>
        <v>1212.79458804003</v>
      </c>
      <c r="BY80" s="7">
        <f t="shared" si="46"/>
        <v>1229.59809107413</v>
      </c>
    </row>
    <row r="81" spans="1:77" x14ac:dyDescent="0.2">
      <c r="A81" s="12"/>
      <c r="B81" s="4" t="s">
        <v>127</v>
      </c>
      <c r="C81" s="7">
        <v>224.088661986445</v>
      </c>
      <c r="D81" s="7">
        <v>222.79202776039699</v>
      </c>
      <c r="E81" s="7">
        <v>122.320266228051</v>
      </c>
      <c r="F81" s="7">
        <v>116.442838869612</v>
      </c>
      <c r="G81" s="7">
        <v>116.442838869612</v>
      </c>
      <c r="H81" s="7">
        <v>116.442838869612</v>
      </c>
      <c r="I81" s="7">
        <v>116.442838869612</v>
      </c>
      <c r="J81" s="7">
        <v>116.442838869612</v>
      </c>
      <c r="K81" s="7">
        <v>116.442838869612</v>
      </c>
      <c r="L81" s="7">
        <v>116.442838869612</v>
      </c>
      <c r="M81" s="7">
        <v>116.442838869612</v>
      </c>
      <c r="N81" s="7">
        <v>116.442838869612</v>
      </c>
      <c r="O81" s="7">
        <v>116.442838869612</v>
      </c>
      <c r="P81" s="7">
        <v>116.442838869612</v>
      </c>
      <c r="Q81" s="7">
        <v>116.442838869612</v>
      </c>
      <c r="R81" s="7">
        <v>116.442838869612</v>
      </c>
      <c r="S81" s="7">
        <v>116.442838869612</v>
      </c>
      <c r="T81" s="7">
        <v>116.442838869612</v>
      </c>
      <c r="U81" s="7">
        <v>116.442838869612</v>
      </c>
      <c r="V81" s="7">
        <v>116.442838869612</v>
      </c>
      <c r="W81" s="7">
        <v>116.442838869612</v>
      </c>
      <c r="X81" s="7">
        <v>116.442838869612</v>
      </c>
      <c r="Y81" s="7">
        <v>103.135082936365</v>
      </c>
      <c r="Z81" s="7">
        <v>103.135082936365</v>
      </c>
      <c r="AA81" s="7">
        <v>103.135082936365</v>
      </c>
      <c r="AB81" s="7">
        <v>103.135082936365</v>
      </c>
      <c r="AC81" s="7">
        <v>103.135082936365</v>
      </c>
      <c r="AD81" s="7">
        <v>103.135082936365</v>
      </c>
      <c r="AE81" s="7">
        <v>103.135082936365</v>
      </c>
      <c r="AF81" s="7">
        <v>103.135082936365</v>
      </c>
      <c r="AG81" s="7">
        <v>103.135082936365</v>
      </c>
      <c r="AH81" s="7">
        <v>103.135082936365</v>
      </c>
      <c r="AI81" s="7">
        <v>103.135082936365</v>
      </c>
      <c r="AJ81" s="7">
        <v>103.135082936365</v>
      </c>
      <c r="AK81" s="7">
        <v>103.135082936365</v>
      </c>
      <c r="AL81" s="7">
        <v>103.135082936365</v>
      </c>
      <c r="AM81" s="7">
        <v>103.135082936365</v>
      </c>
      <c r="AO81" s="7">
        <f t="shared" ref="AO81:BY81" si="47">+C81-C36</f>
        <v>0.18620315847201141</v>
      </c>
      <c r="AP81" s="7">
        <f t="shared" si="47"/>
        <v>0.35787951189399791</v>
      </c>
      <c r="AQ81" s="7">
        <f t="shared" si="47"/>
        <v>1.7475253148119947</v>
      </c>
      <c r="AR81" s="7">
        <f t="shared" si="47"/>
        <v>1.6370054759630079</v>
      </c>
      <c r="AS81" s="7">
        <f t="shared" si="47"/>
        <v>1.6370054759630079</v>
      </c>
      <c r="AT81" s="7">
        <f t="shared" si="47"/>
        <v>1.6370054759630079</v>
      </c>
      <c r="AU81" s="7">
        <f t="shared" si="47"/>
        <v>1.6370054759630079</v>
      </c>
      <c r="AV81" s="7">
        <f t="shared" si="47"/>
        <v>1.6370054759630079</v>
      </c>
      <c r="AW81" s="7">
        <f t="shared" si="47"/>
        <v>1.6370054759630079</v>
      </c>
      <c r="AX81" s="7">
        <f t="shared" si="47"/>
        <v>1.6370054759630079</v>
      </c>
      <c r="AY81" s="7">
        <f t="shared" si="47"/>
        <v>1.6370054759630079</v>
      </c>
      <c r="AZ81" s="7">
        <f t="shared" si="47"/>
        <v>1.6370054759630079</v>
      </c>
      <c r="BA81" s="7">
        <f t="shared" si="47"/>
        <v>1.6370054759630079</v>
      </c>
      <c r="BB81" s="7">
        <f t="shared" si="47"/>
        <v>1.6370054759630079</v>
      </c>
      <c r="BC81" s="7">
        <f t="shared" si="47"/>
        <v>1.6370054759630079</v>
      </c>
      <c r="BD81" s="7">
        <f t="shared" si="47"/>
        <v>1.6370054759630079</v>
      </c>
      <c r="BE81" s="7">
        <f t="shared" si="47"/>
        <v>1.6370054759630079</v>
      </c>
      <c r="BF81" s="7">
        <f t="shared" si="47"/>
        <v>1.6370054759630079</v>
      </c>
      <c r="BG81" s="7">
        <f t="shared" si="47"/>
        <v>1.6370054759630079</v>
      </c>
      <c r="BH81" s="7">
        <f t="shared" si="47"/>
        <v>1.6370054759630079</v>
      </c>
      <c r="BI81" s="7">
        <f t="shared" si="47"/>
        <v>1.6370054759630079</v>
      </c>
      <c r="BJ81" s="7">
        <f t="shared" si="47"/>
        <v>1.6370054759630079</v>
      </c>
      <c r="BK81" s="7">
        <f t="shared" si="47"/>
        <v>1.3867648602169993</v>
      </c>
      <c r="BL81" s="7">
        <f t="shared" si="47"/>
        <v>1.3867648602169993</v>
      </c>
      <c r="BM81" s="7">
        <f t="shared" si="47"/>
        <v>1.3867648602169993</v>
      </c>
      <c r="BN81" s="7">
        <f t="shared" si="47"/>
        <v>1.3867648602169993</v>
      </c>
      <c r="BO81" s="7">
        <f t="shared" si="47"/>
        <v>1.3867648602169993</v>
      </c>
      <c r="BP81" s="7">
        <f t="shared" si="47"/>
        <v>1.3867648602169993</v>
      </c>
      <c r="BQ81" s="7">
        <f t="shared" si="47"/>
        <v>1.3867648602169993</v>
      </c>
      <c r="BR81" s="7">
        <f t="shared" si="47"/>
        <v>1.3867648602169993</v>
      </c>
      <c r="BS81" s="7">
        <f t="shared" si="47"/>
        <v>1.3867648602169993</v>
      </c>
      <c r="BT81" s="7">
        <f t="shared" si="47"/>
        <v>1.3867648602169993</v>
      </c>
      <c r="BU81" s="7">
        <f t="shared" si="47"/>
        <v>1.3867648602169993</v>
      </c>
      <c r="BV81" s="7">
        <f t="shared" si="47"/>
        <v>1.3867648602169993</v>
      </c>
      <c r="BW81" s="7">
        <f t="shared" si="47"/>
        <v>1.3867648602169993</v>
      </c>
      <c r="BX81" s="7">
        <f t="shared" si="47"/>
        <v>1.3867648602169993</v>
      </c>
      <c r="BY81" s="7">
        <f t="shared" si="47"/>
        <v>1.3867648602169993</v>
      </c>
    </row>
    <row r="82" spans="1:77" x14ac:dyDescent="0.2">
      <c r="A82" s="12"/>
      <c r="B82" s="4" t="s">
        <v>121</v>
      </c>
      <c r="C82" s="7">
        <v>816.29370210267405</v>
      </c>
      <c r="D82" s="7">
        <v>633.54845850644404</v>
      </c>
      <c r="E82" s="7">
        <v>636.77288334489003</v>
      </c>
      <c r="F82" s="7">
        <v>628.20568906870096</v>
      </c>
      <c r="G82" s="7">
        <v>619.88444787375897</v>
      </c>
      <c r="H82" s="7">
        <v>611.58638834248404</v>
      </c>
      <c r="I82" s="7">
        <v>604.91590072816098</v>
      </c>
      <c r="J82" s="7">
        <v>598.20812592311302</v>
      </c>
      <c r="K82" s="7">
        <v>591.28836028525404</v>
      </c>
      <c r="L82" s="7">
        <v>584.21225644144704</v>
      </c>
      <c r="M82" s="7">
        <v>576.943679987726</v>
      </c>
      <c r="N82" s="7">
        <v>569.453816947718</v>
      </c>
      <c r="O82" s="7">
        <v>561.74007037259605</v>
      </c>
      <c r="P82" s="7">
        <v>553.76534971660499</v>
      </c>
      <c r="Q82" s="7">
        <v>545.55308567434201</v>
      </c>
      <c r="R82" s="7">
        <v>440.58152108211402</v>
      </c>
      <c r="S82" s="7">
        <v>431.85508958423401</v>
      </c>
      <c r="T82" s="7">
        <v>231.27714538103899</v>
      </c>
      <c r="U82" s="7">
        <v>221.84815531708401</v>
      </c>
      <c r="V82" s="7">
        <v>212.032626355692</v>
      </c>
      <c r="W82" s="7">
        <v>201.82154991792501</v>
      </c>
      <c r="X82" s="7">
        <v>147.89957104646999</v>
      </c>
      <c r="Y82" s="7">
        <v>136.976461785548</v>
      </c>
      <c r="Z82" s="7">
        <v>125.705906207978</v>
      </c>
      <c r="AA82" s="7">
        <v>114.114635152576</v>
      </c>
      <c r="AB82" s="7">
        <v>102.234436149777</v>
      </c>
      <c r="AC82" s="7">
        <v>90.095442196653707</v>
      </c>
      <c r="AD82" s="7">
        <v>77.721013197638797</v>
      </c>
      <c r="AE82" s="7">
        <v>65.162175789877793</v>
      </c>
      <c r="AF82" s="7">
        <v>52.370175245206099</v>
      </c>
      <c r="AG82" s="7">
        <v>39.389188540575503</v>
      </c>
      <c r="AH82" s="7">
        <v>39.389188540575503</v>
      </c>
      <c r="AI82" s="7">
        <v>39.389188540575503</v>
      </c>
      <c r="AJ82" s="7">
        <v>39.389188540575503</v>
      </c>
      <c r="AK82" s="7">
        <v>39.389188540575503</v>
      </c>
      <c r="AL82" s="7">
        <v>39.389188540575503</v>
      </c>
      <c r="AM82" s="7">
        <v>39.389188540575503</v>
      </c>
      <c r="AO82" s="7">
        <f t="shared" ref="AO82:BY82" si="48">+C82-C37</f>
        <v>2.1650083144710379</v>
      </c>
      <c r="AP82" s="7">
        <f t="shared" si="48"/>
        <v>2.5401725686110694</v>
      </c>
      <c r="AQ82" s="7">
        <f t="shared" si="48"/>
        <v>3.7998927263599853</v>
      </c>
      <c r="AR82" s="7">
        <f t="shared" si="48"/>
        <v>-5.4125207291369861</v>
      </c>
      <c r="AS82" s="7">
        <f t="shared" si="48"/>
        <v>-14.666063515781047</v>
      </c>
      <c r="AT82" s="7">
        <f t="shared" si="48"/>
        <v>-23.973999051788951</v>
      </c>
      <c r="AU82" s="7">
        <f t="shared" si="48"/>
        <v>-34.077406642966025</v>
      </c>
      <c r="AV82" s="7">
        <f t="shared" si="48"/>
        <v>-44.51606377504595</v>
      </c>
      <c r="AW82" s="7">
        <f t="shared" si="48"/>
        <v>-55.367362395361965</v>
      </c>
      <c r="AX82" s="7">
        <f t="shared" si="48"/>
        <v>-66.679230358669997</v>
      </c>
      <c r="AY82" s="7">
        <f t="shared" si="48"/>
        <v>-78.508765590972985</v>
      </c>
      <c r="AZ82" s="7">
        <f t="shared" si="48"/>
        <v>-90.877738851728054</v>
      </c>
      <c r="BA82" s="7">
        <f t="shared" si="48"/>
        <v>-103.832904533239</v>
      </c>
      <c r="BB82" s="7">
        <f t="shared" si="48"/>
        <v>-117.39104257417398</v>
      </c>
      <c r="BC82" s="7">
        <f t="shared" si="48"/>
        <v>-131.61653118242702</v>
      </c>
      <c r="BD82" s="7">
        <f t="shared" si="48"/>
        <v>-146.54102767749396</v>
      </c>
      <c r="BE82" s="7">
        <f t="shared" si="48"/>
        <v>-162.20146671931894</v>
      </c>
      <c r="BF82" s="7">
        <f t="shared" si="48"/>
        <v>-214.63839570921701</v>
      </c>
      <c r="BG82" s="7">
        <f t="shared" si="48"/>
        <v>-234.45651522630399</v>
      </c>
      <c r="BH82" s="7">
        <f t="shared" si="48"/>
        <v>-255.02229355114798</v>
      </c>
      <c r="BI82" s="7">
        <f t="shared" si="48"/>
        <v>-276.27349040888998</v>
      </c>
      <c r="BJ82" s="7">
        <f t="shared" si="48"/>
        <v>-341.54699857699501</v>
      </c>
      <c r="BK82" s="7">
        <f t="shared" si="48"/>
        <v>-364.15661822469002</v>
      </c>
      <c r="BL82" s="7">
        <f t="shared" si="48"/>
        <v>-387.45967925389806</v>
      </c>
      <c r="BM82" s="7">
        <f t="shared" si="48"/>
        <v>-411.41922544065898</v>
      </c>
      <c r="BN82" s="7">
        <f t="shared" si="48"/>
        <v>-436.02604202122302</v>
      </c>
      <c r="BO82" s="7">
        <f t="shared" si="48"/>
        <v>-461.17779425630533</v>
      </c>
      <c r="BP82" s="7">
        <f t="shared" si="48"/>
        <v>-487.02263360946125</v>
      </c>
      <c r="BQ82" s="7">
        <f t="shared" si="48"/>
        <v>-514.5624942378372</v>
      </c>
      <c r="BR82" s="7">
        <f t="shared" si="48"/>
        <v>-542.50153326335885</v>
      </c>
      <c r="BS82" s="7">
        <f t="shared" si="48"/>
        <v>-571.7145137679945</v>
      </c>
      <c r="BT82" s="7">
        <f t="shared" si="48"/>
        <v>-595.16777593453253</v>
      </c>
      <c r="BU82" s="7">
        <f t="shared" si="48"/>
        <v>-612.70070572174154</v>
      </c>
      <c r="BV82" s="7">
        <f t="shared" si="48"/>
        <v>-627.9025935662446</v>
      </c>
      <c r="BW82" s="7">
        <f t="shared" si="48"/>
        <v>-640.56422547615239</v>
      </c>
      <c r="BX82" s="7">
        <f t="shared" si="48"/>
        <v>-658.48826381587946</v>
      </c>
      <c r="BY82" s="7">
        <f t="shared" si="48"/>
        <v>-669.69199203296944</v>
      </c>
    </row>
    <row r="83" spans="1:77" x14ac:dyDescent="0.2">
      <c r="A83" s="12"/>
      <c r="B83" s="4" t="s">
        <v>126</v>
      </c>
      <c r="C83" s="7">
        <v>925.87697592269103</v>
      </c>
      <c r="D83" s="7">
        <v>911.04341800443103</v>
      </c>
      <c r="E83" s="7">
        <v>891.50785732439294</v>
      </c>
      <c r="F83" s="7">
        <v>865.29048855263602</v>
      </c>
      <c r="G83" s="7">
        <v>845.27909740190501</v>
      </c>
      <c r="H83" s="7">
        <v>825.688536590642</v>
      </c>
      <c r="I83" s="7">
        <v>806.664380436687</v>
      </c>
      <c r="J83" s="7">
        <v>788.04034703427203</v>
      </c>
      <c r="K83" s="7">
        <v>769.79176124197704</v>
      </c>
      <c r="L83" s="7">
        <v>751.91925848784001</v>
      </c>
      <c r="M83" s="7">
        <v>734.41238537813297</v>
      </c>
      <c r="N83" s="7">
        <v>717.261098493389</v>
      </c>
      <c r="O83" s="7">
        <v>699.63946378948197</v>
      </c>
      <c r="P83" s="7">
        <v>683.19193186122004</v>
      </c>
      <c r="Q83" s="7">
        <v>655.61183014713697</v>
      </c>
      <c r="R83" s="7">
        <v>640.08090865087502</v>
      </c>
      <c r="S83" s="7">
        <v>624.85690687656404</v>
      </c>
      <c r="T83" s="7">
        <v>609.92895260896705</v>
      </c>
      <c r="U83" s="7">
        <v>594.82308382638803</v>
      </c>
      <c r="V83" s="7">
        <v>580.45603971734397</v>
      </c>
      <c r="W83" s="7">
        <v>566.35282305113299</v>
      </c>
      <c r="X83" s="7">
        <v>552.398229501777</v>
      </c>
      <c r="Y83" s="7">
        <v>537.72956212684005</v>
      </c>
      <c r="Z83" s="7">
        <v>524.416265436613</v>
      </c>
      <c r="AA83" s="7">
        <v>511.22208829556899</v>
      </c>
      <c r="AB83" s="7">
        <v>498.32999848952801</v>
      </c>
      <c r="AC83" s="7">
        <v>485.74034627296999</v>
      </c>
      <c r="AD83" s="7">
        <v>473.38279181925299</v>
      </c>
      <c r="AE83" s="7">
        <v>471.96829717351801</v>
      </c>
      <c r="AF83" s="7">
        <v>470.529717581787</v>
      </c>
      <c r="AG83" s="7">
        <v>469.07119388464702</v>
      </c>
      <c r="AH83" s="7">
        <v>469.07119388464702</v>
      </c>
      <c r="AI83" s="7">
        <v>469.07119388464702</v>
      </c>
      <c r="AJ83" s="7">
        <v>469.07119388464702</v>
      </c>
      <c r="AK83" s="7">
        <v>469.07119388464702</v>
      </c>
      <c r="AL83" s="7">
        <v>469.07119388464702</v>
      </c>
      <c r="AM83" s="7">
        <v>469.07119388464702</v>
      </c>
      <c r="AO83" s="7">
        <f t="shared" ref="AO83:BY83" si="49">+C83-C38</f>
        <v>0.14886998901806692</v>
      </c>
      <c r="AP83" s="7">
        <f t="shared" si="49"/>
        <v>0.35041951917105507</v>
      </c>
      <c r="AQ83" s="7">
        <f t="shared" si="49"/>
        <v>0.52419926052596111</v>
      </c>
      <c r="AR83" s="7">
        <f t="shared" si="49"/>
        <v>-0.5224497386980147</v>
      </c>
      <c r="AS83" s="7">
        <f t="shared" si="49"/>
        <v>-1.4557488870540283</v>
      </c>
      <c r="AT83" s="7">
        <f t="shared" si="49"/>
        <v>-2.4039619582810019</v>
      </c>
      <c r="AU83" s="7">
        <f t="shared" si="49"/>
        <v>-3.2115622052290291</v>
      </c>
      <c r="AV83" s="7">
        <f t="shared" si="49"/>
        <v>-4.0351064037320157</v>
      </c>
      <c r="AW83" s="7">
        <f t="shared" si="49"/>
        <v>-4.8897668135459753</v>
      </c>
      <c r="AX83" s="7">
        <f t="shared" si="49"/>
        <v>-5.7656218170429838</v>
      </c>
      <c r="AY83" s="7">
        <f t="shared" si="49"/>
        <v>-6.664051269549077</v>
      </c>
      <c r="AZ83" s="7">
        <f t="shared" si="49"/>
        <v>-7.586231642005032</v>
      </c>
      <c r="BA83" s="7">
        <f t="shared" si="49"/>
        <v>-8.5308056222399955</v>
      </c>
      <c r="BB83" s="7">
        <f t="shared" si="49"/>
        <v>-9.500809130594007</v>
      </c>
      <c r="BC83" s="7">
        <f t="shared" si="49"/>
        <v>-10.492544699474024</v>
      </c>
      <c r="BD83" s="7">
        <f t="shared" si="49"/>
        <v>-11.506724233923933</v>
      </c>
      <c r="BE83" s="7">
        <f t="shared" si="49"/>
        <v>-12.545546693515917</v>
      </c>
      <c r="BF83" s="7">
        <f t="shared" si="49"/>
        <v>-68.336751773258925</v>
      </c>
      <c r="BG83" s="7">
        <f t="shared" si="49"/>
        <v>-85.280436082574965</v>
      </c>
      <c r="BH83" s="7">
        <f t="shared" si="49"/>
        <v>-105.49199755117104</v>
      </c>
      <c r="BI83" s="7">
        <f t="shared" si="49"/>
        <v>-113.05513482084996</v>
      </c>
      <c r="BJ83" s="7">
        <f t="shared" si="49"/>
        <v>-120.85456638823598</v>
      </c>
      <c r="BK83" s="7">
        <f t="shared" si="49"/>
        <v>-132.10642723038893</v>
      </c>
      <c r="BL83" s="7">
        <f t="shared" si="49"/>
        <v>-139.54917833933405</v>
      </c>
      <c r="BM83" s="7">
        <f t="shared" si="49"/>
        <v>-146.78063838370502</v>
      </c>
      <c r="BN83" s="7">
        <f t="shared" si="49"/>
        <v>-153.66602815232596</v>
      </c>
      <c r="BO83" s="7">
        <f t="shared" si="49"/>
        <v>-160.49332218817301</v>
      </c>
      <c r="BP83" s="7">
        <f t="shared" si="49"/>
        <v>-167.21288750820196</v>
      </c>
      <c r="BQ83" s="7">
        <f t="shared" si="49"/>
        <v>-177.92799891889393</v>
      </c>
      <c r="BR83" s="7">
        <f t="shared" si="49"/>
        <v>-188.76803534152003</v>
      </c>
      <c r="BS83" s="7">
        <f t="shared" si="49"/>
        <v>-199.388440694194</v>
      </c>
      <c r="BT83" s="7">
        <f t="shared" si="49"/>
        <v>-199.388440694194</v>
      </c>
      <c r="BU83" s="7">
        <f t="shared" si="49"/>
        <v>-199.388440694194</v>
      </c>
      <c r="BV83" s="7">
        <f t="shared" si="49"/>
        <v>-199.388440694194</v>
      </c>
      <c r="BW83" s="7">
        <f t="shared" si="49"/>
        <v>-199.388440694194</v>
      </c>
      <c r="BX83" s="7">
        <f t="shared" si="49"/>
        <v>-199.388440694194</v>
      </c>
      <c r="BY83" s="7">
        <f t="shared" si="49"/>
        <v>-199.388440694194</v>
      </c>
    </row>
    <row r="84" spans="1:77" ht="15" customHeight="1" x14ac:dyDescent="0.2">
      <c r="A84" s="12"/>
      <c r="B84" s="4" t="s">
        <v>130</v>
      </c>
      <c r="C84" s="7">
        <v>111.45373811118399</v>
      </c>
      <c r="D84" s="7">
        <v>121.069619764165</v>
      </c>
      <c r="E84" s="7">
        <v>120.19193745192</v>
      </c>
      <c r="F84" s="7">
        <v>124.123463848908</v>
      </c>
      <c r="G84" s="7">
        <v>128.43845020621899</v>
      </c>
      <c r="H84" s="7">
        <v>132.61808760721101</v>
      </c>
      <c r="I84" s="7">
        <v>137.62387547800901</v>
      </c>
      <c r="J84" s="7">
        <v>162.52900913429499</v>
      </c>
      <c r="K84" s="7">
        <v>187.03779450800201</v>
      </c>
      <c r="L84" s="7">
        <v>209.57799470959301</v>
      </c>
      <c r="M84" s="7">
        <v>216.83161739464799</v>
      </c>
      <c r="N84" s="7">
        <v>234.75747846189</v>
      </c>
      <c r="O84" s="7">
        <v>229.395610253342</v>
      </c>
      <c r="P84" s="7">
        <v>224.15620727315499</v>
      </c>
      <c r="Q84" s="7">
        <v>219.036472413213</v>
      </c>
      <c r="R84" s="7">
        <v>214.03367245188301</v>
      </c>
      <c r="S84" s="7">
        <v>209.14513663731501</v>
      </c>
      <c r="T84" s="7">
        <v>204.36825510208499</v>
      </c>
      <c r="U84" s="7">
        <v>199.700477716341</v>
      </c>
      <c r="V84" s="7">
        <v>196.76109097939801</v>
      </c>
      <c r="W84" s="7">
        <v>200.62147052899499</v>
      </c>
      <c r="X84" s="7">
        <v>203.84321629384701</v>
      </c>
      <c r="Y84" s="7">
        <v>207.036344748586</v>
      </c>
      <c r="Z84" s="7">
        <v>209.94653387355501</v>
      </c>
      <c r="AA84" s="7">
        <v>212.57186924148601</v>
      </c>
      <c r="AB84" s="7">
        <v>214.926745351606</v>
      </c>
      <c r="AC84" s="7">
        <v>217.03279640551</v>
      </c>
      <c r="AD84" s="7">
        <v>218.98508426304701</v>
      </c>
      <c r="AE84" s="7">
        <v>226.51681804696901</v>
      </c>
      <c r="AF84" s="7">
        <v>233.81140708081099</v>
      </c>
      <c r="AG84" s="7">
        <v>242.01622829161701</v>
      </c>
      <c r="AH84" s="7">
        <v>251.872930182521</v>
      </c>
      <c r="AI84" s="7">
        <v>261.400086265109</v>
      </c>
      <c r="AJ84" s="7">
        <v>264.52133179172603</v>
      </c>
      <c r="AK84" s="7">
        <v>273.08772185740497</v>
      </c>
      <c r="AL84" s="7">
        <v>282.28555327721602</v>
      </c>
      <c r="AM84" s="7">
        <v>277.33956037382899</v>
      </c>
      <c r="AO84" s="7">
        <f t="shared" ref="AO84:BY84" si="50">+C84-C39</f>
        <v>2.278169972669275E-7</v>
      </c>
      <c r="AP84" s="7">
        <f t="shared" si="50"/>
        <v>1.1704401121779995</v>
      </c>
      <c r="AQ84" s="7">
        <f t="shared" si="50"/>
        <v>2.1466548001439918</v>
      </c>
      <c r="AR84" s="7">
        <f t="shared" si="50"/>
        <v>8.0802865555260013</v>
      </c>
      <c r="AS84" s="7">
        <f t="shared" si="50"/>
        <v>15.045702746853991</v>
      </c>
      <c r="AT84" s="7">
        <f t="shared" si="50"/>
        <v>21.390989119865012</v>
      </c>
      <c r="AU84" s="7">
        <f t="shared" si="50"/>
        <v>27.527990053812019</v>
      </c>
      <c r="AV84" s="7">
        <f t="shared" si="50"/>
        <v>50.073232293820993</v>
      </c>
      <c r="AW84" s="7">
        <f t="shared" si="50"/>
        <v>72.079135213484008</v>
      </c>
      <c r="AX84" s="7">
        <f t="shared" si="50"/>
        <v>92.529476893912019</v>
      </c>
      <c r="AY84" s="7">
        <f t="shared" si="50"/>
        <v>96.450449722138998</v>
      </c>
      <c r="AZ84" s="7">
        <f t="shared" si="50"/>
        <v>116.397571724914</v>
      </c>
      <c r="BA84" s="7">
        <f t="shared" si="50"/>
        <v>112.960807286429</v>
      </c>
      <c r="BB84" s="7">
        <f t="shared" si="50"/>
        <v>109.91284775538999</v>
      </c>
      <c r="BC84" s="7">
        <f t="shared" si="50"/>
        <v>107.402434838191</v>
      </c>
      <c r="BD84" s="7">
        <f t="shared" si="50"/>
        <v>104.94935982773501</v>
      </c>
      <c r="BE84" s="7">
        <f t="shared" si="50"/>
        <v>102.552313146451</v>
      </c>
      <c r="BF84" s="7">
        <f t="shared" si="50"/>
        <v>100.21001507086199</v>
      </c>
      <c r="BG84" s="7">
        <f t="shared" si="50"/>
        <v>95.549918731215001</v>
      </c>
      <c r="BH84" s="7">
        <f t="shared" si="50"/>
        <v>92.591655839784011</v>
      </c>
      <c r="BI84" s="7">
        <f t="shared" si="50"/>
        <v>96.425178753330997</v>
      </c>
      <c r="BJ84" s="7">
        <f t="shared" si="50"/>
        <v>99.609317976446007</v>
      </c>
      <c r="BK84" s="7">
        <f t="shared" si="50"/>
        <v>102.75120439098801</v>
      </c>
      <c r="BL84" s="7">
        <f t="shared" si="50"/>
        <v>105.60915396755701</v>
      </c>
      <c r="BM84" s="7">
        <f t="shared" si="50"/>
        <v>108.17793711857901</v>
      </c>
      <c r="BN84" s="7">
        <f t="shared" si="50"/>
        <v>110.46139163301301</v>
      </c>
      <c r="BO84" s="7">
        <f t="shared" si="50"/>
        <v>112.467591142039</v>
      </c>
      <c r="BP84" s="7">
        <f t="shared" si="50"/>
        <v>114.24732728401601</v>
      </c>
      <c r="BQ84" s="7">
        <f t="shared" si="50"/>
        <v>118.95903124753401</v>
      </c>
      <c r="BR84" s="7">
        <f t="shared" si="50"/>
        <v>123.40222475926899</v>
      </c>
      <c r="BS84" s="7">
        <f t="shared" si="50"/>
        <v>128.91239052846799</v>
      </c>
      <c r="BT84" s="7">
        <f t="shared" si="50"/>
        <v>135.942187569471</v>
      </c>
      <c r="BU84" s="7">
        <f t="shared" si="50"/>
        <v>140.42944873524198</v>
      </c>
      <c r="BV84" s="7">
        <f t="shared" si="50"/>
        <v>137.70003315930802</v>
      </c>
      <c r="BW84" s="7">
        <f t="shared" si="50"/>
        <v>140.20078465200197</v>
      </c>
      <c r="BX84" s="7">
        <f t="shared" si="50"/>
        <v>147.17172624740903</v>
      </c>
      <c r="BY84" s="7">
        <f t="shared" si="50"/>
        <v>137.16605145288699</v>
      </c>
    </row>
    <row r="85" spans="1:77" ht="15" customHeight="1" x14ac:dyDescent="0.2">
      <c r="A85" s="12"/>
      <c r="B85" s="4" t="s">
        <v>124</v>
      </c>
      <c r="C85" s="7">
        <v>0</v>
      </c>
      <c r="D85" s="7">
        <v>0</v>
      </c>
      <c r="E85" s="7">
        <v>0</v>
      </c>
      <c r="F85" s="7">
        <v>117.336143228797</v>
      </c>
      <c r="G85" s="7">
        <v>253.49835572324201</v>
      </c>
      <c r="H85" s="7">
        <v>389.82842016259701</v>
      </c>
      <c r="I85" s="7">
        <v>505.37237889075999</v>
      </c>
      <c r="J85" s="7">
        <v>623.08303480577104</v>
      </c>
      <c r="K85" s="7">
        <v>753.71347540198599</v>
      </c>
      <c r="L85" s="7">
        <v>885.45001546321203</v>
      </c>
      <c r="M85" s="7">
        <v>1032.0938664028199</v>
      </c>
      <c r="N85" s="7">
        <v>1186.00115259824</v>
      </c>
      <c r="O85" s="7">
        <v>1359.13812669655</v>
      </c>
      <c r="P85" s="7">
        <v>1525.1272366291701</v>
      </c>
      <c r="Q85" s="7">
        <v>1706.6719674641099</v>
      </c>
      <c r="R85" s="7">
        <v>1899.3368193886699</v>
      </c>
      <c r="S85" s="7">
        <v>2071.1367696196899</v>
      </c>
      <c r="T85" s="7">
        <v>2266.8844704029102</v>
      </c>
      <c r="U85" s="7">
        <v>2481.49452695946</v>
      </c>
      <c r="V85" s="7">
        <v>2675.7163578150798</v>
      </c>
      <c r="W85" s="7">
        <v>2887.9191311140498</v>
      </c>
      <c r="X85" s="7">
        <v>3104.9295678385502</v>
      </c>
      <c r="Y85" s="7">
        <v>3326.79077256046</v>
      </c>
      <c r="Z85" s="7">
        <v>3552.3492034687702</v>
      </c>
      <c r="AA85" s="7">
        <v>3781.2122297772298</v>
      </c>
      <c r="AB85" s="7">
        <v>4013.2630677130501</v>
      </c>
      <c r="AC85" s="7">
        <v>4248.5544529930803</v>
      </c>
      <c r="AD85" s="7">
        <v>4487.5247730650599</v>
      </c>
      <c r="AE85" s="7">
        <v>4735.9850468630902</v>
      </c>
      <c r="AF85" s="7">
        <v>4985.6053491193597</v>
      </c>
      <c r="AG85" s="7">
        <v>5324.1627910303596</v>
      </c>
      <c r="AH85" s="7">
        <v>5531.1193588456299</v>
      </c>
      <c r="AI85" s="7">
        <v>5805.7540389737496</v>
      </c>
      <c r="AJ85" s="7">
        <v>6019.5044847907902</v>
      </c>
      <c r="AK85" s="7">
        <v>6231.3935960995104</v>
      </c>
      <c r="AL85" s="7">
        <v>6433.1087869234398</v>
      </c>
      <c r="AM85" s="7">
        <v>6633.8381578489598</v>
      </c>
      <c r="AO85" s="7">
        <f t="shared" ref="AO85:BY85" si="51">+C85-C40</f>
        <v>0</v>
      </c>
      <c r="AP85" s="7">
        <f t="shared" si="51"/>
        <v>0</v>
      </c>
      <c r="AQ85" s="7">
        <f t="shared" si="51"/>
        <v>0</v>
      </c>
      <c r="AR85" s="7">
        <f t="shared" si="51"/>
        <v>117.336143228797</v>
      </c>
      <c r="AS85" s="7">
        <f t="shared" si="51"/>
        <v>253.49835572324201</v>
      </c>
      <c r="AT85" s="7">
        <f t="shared" si="51"/>
        <v>389.82842016259701</v>
      </c>
      <c r="AU85" s="7">
        <f t="shared" si="51"/>
        <v>505.37237889075999</v>
      </c>
      <c r="AV85" s="7">
        <f t="shared" si="51"/>
        <v>623.08303480577104</v>
      </c>
      <c r="AW85" s="7">
        <f t="shared" si="51"/>
        <v>753.71347540198599</v>
      </c>
      <c r="AX85" s="7">
        <f t="shared" si="51"/>
        <v>885.45001546321203</v>
      </c>
      <c r="AY85" s="7">
        <f t="shared" si="51"/>
        <v>1032.0938664028199</v>
      </c>
      <c r="AZ85" s="7">
        <f t="shared" si="51"/>
        <v>1186.00115259824</v>
      </c>
      <c r="BA85" s="7">
        <f t="shared" si="51"/>
        <v>1359.13812669655</v>
      </c>
      <c r="BB85" s="7">
        <f t="shared" si="51"/>
        <v>1525.1272366291701</v>
      </c>
      <c r="BC85" s="7">
        <f t="shared" si="51"/>
        <v>1706.6719674641099</v>
      </c>
      <c r="BD85" s="7">
        <f t="shared" si="51"/>
        <v>1899.3368193886699</v>
      </c>
      <c r="BE85" s="7">
        <f t="shared" si="51"/>
        <v>2071.1367696196899</v>
      </c>
      <c r="BF85" s="7">
        <f t="shared" si="51"/>
        <v>2266.8844704029102</v>
      </c>
      <c r="BG85" s="7">
        <f t="shared" si="51"/>
        <v>2481.49452695946</v>
      </c>
      <c r="BH85" s="7">
        <f t="shared" si="51"/>
        <v>2675.7163578150798</v>
      </c>
      <c r="BI85" s="7">
        <f t="shared" si="51"/>
        <v>2887.9191311140498</v>
      </c>
      <c r="BJ85" s="7">
        <f t="shared" si="51"/>
        <v>3104.9295678385502</v>
      </c>
      <c r="BK85" s="7">
        <f t="shared" si="51"/>
        <v>3326.79077256046</v>
      </c>
      <c r="BL85" s="7">
        <f t="shared" si="51"/>
        <v>3552.3492034687702</v>
      </c>
      <c r="BM85" s="7">
        <f t="shared" si="51"/>
        <v>3781.2122297772298</v>
      </c>
      <c r="BN85" s="7">
        <f t="shared" si="51"/>
        <v>4013.2630677130501</v>
      </c>
      <c r="BO85" s="7">
        <f t="shared" si="51"/>
        <v>4248.5544529930803</v>
      </c>
      <c r="BP85" s="7">
        <f t="shared" si="51"/>
        <v>4487.5247730650599</v>
      </c>
      <c r="BQ85" s="7">
        <f t="shared" si="51"/>
        <v>4735.9850468630902</v>
      </c>
      <c r="BR85" s="7">
        <f t="shared" si="51"/>
        <v>4985.6053491193597</v>
      </c>
      <c r="BS85" s="7">
        <f t="shared" si="51"/>
        <v>5324.1627910303596</v>
      </c>
      <c r="BT85" s="7">
        <f t="shared" si="51"/>
        <v>5531.1193588456299</v>
      </c>
      <c r="BU85" s="7">
        <f t="shared" si="51"/>
        <v>5805.7540389737496</v>
      </c>
      <c r="BV85" s="7">
        <f t="shared" si="51"/>
        <v>6019.5044847907902</v>
      </c>
      <c r="BW85" s="7">
        <f t="shared" si="51"/>
        <v>6231.3935960995104</v>
      </c>
      <c r="BX85" s="7">
        <f t="shared" si="51"/>
        <v>6433.1087869234398</v>
      </c>
      <c r="BY85" s="7">
        <f t="shared" si="51"/>
        <v>6633.8381578489598</v>
      </c>
    </row>
    <row r="86" spans="1:77" x14ac:dyDescent="0.2">
      <c r="A86" s="12"/>
      <c r="B86" s="4" t="s">
        <v>132</v>
      </c>
      <c r="C86" s="7">
        <v>287.673332931765</v>
      </c>
      <c r="D86" s="7">
        <v>355.52792084412499</v>
      </c>
      <c r="E86" s="7">
        <v>351.67091804722901</v>
      </c>
      <c r="F86" s="7">
        <v>484.015370470356</v>
      </c>
      <c r="G86" s="7">
        <v>473.25075534874497</v>
      </c>
      <c r="H86" s="7">
        <v>543.99194430438297</v>
      </c>
      <c r="I86" s="7">
        <v>577.027174316333</v>
      </c>
      <c r="J86" s="7">
        <v>558.68949522144806</v>
      </c>
      <c r="K86" s="7">
        <v>540.55243014843995</v>
      </c>
      <c r="L86" s="7">
        <v>526.93138170534701</v>
      </c>
      <c r="M86" s="7">
        <v>551.99253883458596</v>
      </c>
      <c r="N86" s="7">
        <v>548.86246830484504</v>
      </c>
      <c r="O86" s="7">
        <v>604.96607892801103</v>
      </c>
      <c r="P86" s="7">
        <v>659.916964350645</v>
      </c>
      <c r="Q86" s="7">
        <v>713.94278367217896</v>
      </c>
      <c r="R86" s="7">
        <v>767.14108251862001</v>
      </c>
      <c r="S86" s="7">
        <v>820.74153246461594</v>
      </c>
      <c r="T86" s="7">
        <v>988.71924814059105</v>
      </c>
      <c r="U86" s="7">
        <v>966.13686932068299</v>
      </c>
      <c r="V86" s="7">
        <v>972.68953564809499</v>
      </c>
      <c r="W86" s="7">
        <v>950.47327580050501</v>
      </c>
      <c r="X86" s="7">
        <v>964.59675269319496</v>
      </c>
      <c r="Y86" s="7">
        <v>1047.6916859108201</v>
      </c>
      <c r="Z86" s="7">
        <v>1015.2553374706901</v>
      </c>
      <c r="AA86" s="7">
        <v>1021.40582748798</v>
      </c>
      <c r="AB86" s="7">
        <v>1054.7223213465199</v>
      </c>
      <c r="AC86" s="7">
        <v>1057.3206856040799</v>
      </c>
      <c r="AD86" s="7">
        <v>1096.06351989994</v>
      </c>
      <c r="AE86" s="7">
        <v>1146.2379672309501</v>
      </c>
      <c r="AF86" s="7">
        <v>1255.6145791609499</v>
      </c>
      <c r="AG86" s="7">
        <v>1435.59959730131</v>
      </c>
      <c r="AH86" s="7">
        <v>1425.80152445401</v>
      </c>
      <c r="AI86" s="7">
        <v>1297.5193503686501</v>
      </c>
      <c r="AJ86" s="7">
        <v>1247.75620627285</v>
      </c>
      <c r="AK86" s="7">
        <v>1196.53772480352</v>
      </c>
      <c r="AL86" s="7">
        <v>1140.6133923400801</v>
      </c>
      <c r="AM86" s="7">
        <v>1084.75226541865</v>
      </c>
      <c r="AO86" s="7">
        <f t="shared" ref="AO86:BY86" si="52">+C86-C41</f>
        <v>5.8862701735051814E-7</v>
      </c>
      <c r="AP86" s="7">
        <f t="shared" si="52"/>
        <v>3.437064891801981</v>
      </c>
      <c r="AQ86" s="7">
        <f t="shared" si="52"/>
        <v>5.0241374607940088</v>
      </c>
      <c r="AR86" s="7">
        <f t="shared" si="52"/>
        <v>81.438857840026003</v>
      </c>
      <c r="AS86" s="7">
        <f t="shared" si="52"/>
        <v>89.105106437443965</v>
      </c>
      <c r="AT86" s="7">
        <f t="shared" si="52"/>
        <v>128.73096980922799</v>
      </c>
      <c r="AU86" s="7">
        <f t="shared" si="52"/>
        <v>168.02653340611403</v>
      </c>
      <c r="AV86" s="7">
        <f t="shared" si="52"/>
        <v>164.18880208378704</v>
      </c>
      <c r="AW86" s="7">
        <f t="shared" si="52"/>
        <v>160.43872465564095</v>
      </c>
      <c r="AX86" s="7">
        <f t="shared" si="52"/>
        <v>156.774299095831</v>
      </c>
      <c r="AY86" s="7">
        <f t="shared" si="52"/>
        <v>196.47368846049397</v>
      </c>
      <c r="AZ86" s="7">
        <f t="shared" si="52"/>
        <v>194.13488594346404</v>
      </c>
      <c r="BA86" s="7">
        <f t="shared" si="52"/>
        <v>250.60184342480403</v>
      </c>
      <c r="BB86" s="7">
        <f t="shared" si="52"/>
        <v>305.02752804914002</v>
      </c>
      <c r="BC86" s="7">
        <f t="shared" si="52"/>
        <v>357.02749796275299</v>
      </c>
      <c r="BD86" s="7">
        <f t="shared" si="52"/>
        <v>407.141288487949</v>
      </c>
      <c r="BE86" s="7">
        <f t="shared" si="52"/>
        <v>457.03568686455196</v>
      </c>
      <c r="BF86" s="7">
        <f t="shared" si="52"/>
        <v>616.28495955530911</v>
      </c>
      <c r="BG86" s="7">
        <f t="shared" si="52"/>
        <v>602.20899163634499</v>
      </c>
      <c r="BH86" s="7">
        <f t="shared" si="52"/>
        <v>614.51214383860406</v>
      </c>
      <c r="BI86" s="7">
        <f t="shared" si="52"/>
        <v>591.06738654295395</v>
      </c>
      <c r="BJ86" s="7">
        <f t="shared" si="52"/>
        <v>604.29461039151988</v>
      </c>
      <c r="BK86" s="7">
        <f t="shared" si="52"/>
        <v>672.32544296841206</v>
      </c>
      <c r="BL86" s="7">
        <f t="shared" si="52"/>
        <v>639.84171358582898</v>
      </c>
      <c r="BM86" s="7">
        <f t="shared" si="52"/>
        <v>645.84374665734595</v>
      </c>
      <c r="BN86" s="7">
        <f t="shared" si="52"/>
        <v>678.81099210160994</v>
      </c>
      <c r="BO86" s="7">
        <f t="shared" si="52"/>
        <v>680.95919291793189</v>
      </c>
      <c r="BP86" s="7">
        <f t="shared" si="52"/>
        <v>719.07536302221001</v>
      </c>
      <c r="BQ86" s="7">
        <f t="shared" si="52"/>
        <v>758.46881271628206</v>
      </c>
      <c r="BR86" s="7">
        <f t="shared" si="52"/>
        <v>857.33322463414697</v>
      </c>
      <c r="BS86" s="7">
        <f t="shared" si="52"/>
        <v>1027.7291122721251</v>
      </c>
      <c r="BT86" s="7">
        <f t="shared" si="52"/>
        <v>1006.436854479801</v>
      </c>
      <c r="BU86" s="7">
        <f t="shared" si="52"/>
        <v>863.32139930733615</v>
      </c>
      <c r="BV86" s="7">
        <f t="shared" si="52"/>
        <v>797.88834210746495</v>
      </c>
      <c r="BW86" s="7">
        <f t="shared" si="52"/>
        <v>731.1260016388519</v>
      </c>
      <c r="BX86" s="7">
        <f t="shared" si="52"/>
        <v>666.42417902521697</v>
      </c>
      <c r="BY86" s="7">
        <f t="shared" si="52"/>
        <v>597.63880171427002</v>
      </c>
    </row>
    <row r="87" spans="1:77" x14ac:dyDescent="0.2">
      <c r="A87" s="12"/>
      <c r="B87" s="4" t="s">
        <v>129</v>
      </c>
      <c r="C87" s="7">
        <v>1780.2055368925</v>
      </c>
      <c r="D87" s="7">
        <v>2549.6387934734298</v>
      </c>
      <c r="E87" s="7">
        <v>2578.0986137221498</v>
      </c>
      <c r="F87" s="7">
        <v>2502.48177619225</v>
      </c>
      <c r="G87" s="7">
        <v>2429.0358003920001</v>
      </c>
      <c r="H87" s="7">
        <v>2316.4937889929402</v>
      </c>
      <c r="I87" s="7">
        <v>2257.6179001177102</v>
      </c>
      <c r="J87" s="7">
        <v>2198.412902394</v>
      </c>
      <c r="K87" s="7">
        <v>2125.4898242802601</v>
      </c>
      <c r="L87" s="7">
        <v>2011.63164668227</v>
      </c>
      <c r="M87" s="7">
        <v>1941.9694541797901</v>
      </c>
      <c r="N87" s="7">
        <v>1875.86149183421</v>
      </c>
      <c r="O87" s="7">
        <v>1807.7774607367901</v>
      </c>
      <c r="P87" s="7">
        <v>1721.9203768167799</v>
      </c>
      <c r="Q87" s="7">
        <v>1649.43626873925</v>
      </c>
      <c r="R87" s="7">
        <v>1574.82227028948</v>
      </c>
      <c r="S87" s="7">
        <v>1497.79995335371</v>
      </c>
      <c r="T87" s="7">
        <v>1418.0885341967</v>
      </c>
      <c r="U87" s="7">
        <v>1303.0448050826201</v>
      </c>
      <c r="V87" s="7">
        <v>1216.40976042087</v>
      </c>
      <c r="W87" s="7">
        <v>1126.2834853408301</v>
      </c>
      <c r="X87" s="7">
        <v>1030.39138822481</v>
      </c>
      <c r="Y87" s="7">
        <v>926.14776593480497</v>
      </c>
      <c r="Z87" s="7">
        <v>819.57178664152605</v>
      </c>
      <c r="AA87" s="7">
        <v>703.80098800290602</v>
      </c>
      <c r="AB87" s="7">
        <v>598.94249537897997</v>
      </c>
      <c r="AC87" s="7">
        <v>479.85490507067198</v>
      </c>
      <c r="AD87" s="7">
        <v>370.63417807672602</v>
      </c>
      <c r="AE87" s="7">
        <v>259.78580260957301</v>
      </c>
      <c r="AF87" s="7">
        <v>139.046739220825</v>
      </c>
      <c r="AG87" s="7">
        <v>24.4723370329441</v>
      </c>
      <c r="AH87" s="7">
        <v>24.4723370329441</v>
      </c>
      <c r="AI87" s="7">
        <v>17.129167288767398</v>
      </c>
      <c r="AJ87" s="7">
        <v>17.129167288767398</v>
      </c>
      <c r="AK87" s="7">
        <v>17.129167288767398</v>
      </c>
      <c r="AL87" s="7">
        <v>17.129167288767398</v>
      </c>
      <c r="AM87" s="7">
        <v>17.129167288767398</v>
      </c>
      <c r="AO87" s="7">
        <f t="shared" ref="AO87:BY87" si="53">+C87-C42</f>
        <v>7.5312209393000558</v>
      </c>
      <c r="AP87" s="7">
        <f t="shared" si="53"/>
        <v>22.420387611889964</v>
      </c>
      <c r="AQ87" s="7">
        <f t="shared" si="53"/>
        <v>33.53908662008962</v>
      </c>
      <c r="AR87" s="7">
        <f t="shared" si="53"/>
        <v>-47.772664819779948</v>
      </c>
      <c r="AS87" s="7">
        <f t="shared" si="53"/>
        <v>-129.44743708664009</v>
      </c>
      <c r="AT87" s="7">
        <f t="shared" si="53"/>
        <v>-211.60229741487001</v>
      </c>
      <c r="AU87" s="7">
        <f t="shared" si="53"/>
        <v>-300.77825230635972</v>
      </c>
      <c r="AV87" s="7">
        <f t="shared" si="53"/>
        <v>-392.91322846543017</v>
      </c>
      <c r="AW87" s="7">
        <f t="shared" si="53"/>
        <v>-488.6903123400898</v>
      </c>
      <c r="AX87" s="7">
        <f t="shared" si="53"/>
        <v>-588.53253073332007</v>
      </c>
      <c r="AY87" s="7">
        <f t="shared" si="53"/>
        <v>-692.94384847381002</v>
      </c>
      <c r="AZ87" s="7">
        <f t="shared" si="53"/>
        <v>-802.1164213510001</v>
      </c>
      <c r="BA87" s="7">
        <f t="shared" si="53"/>
        <v>-916.46291880750005</v>
      </c>
      <c r="BB87" s="7">
        <f t="shared" si="53"/>
        <v>-1036.1314460286799</v>
      </c>
      <c r="BC87" s="7">
        <f t="shared" si="53"/>
        <v>-1161.69022597411</v>
      </c>
      <c r="BD87" s="7">
        <f t="shared" si="53"/>
        <v>-1295.3991438462899</v>
      </c>
      <c r="BE87" s="7">
        <f t="shared" si="53"/>
        <v>-1436.0495595003799</v>
      </c>
      <c r="BF87" s="7">
        <f t="shared" si="53"/>
        <v>-1604.5376832060801</v>
      </c>
      <c r="BG87" s="7">
        <f t="shared" si="53"/>
        <v>-1788.1490332522501</v>
      </c>
      <c r="BH87" s="7">
        <f t="shared" si="53"/>
        <v>-1945.7115671186698</v>
      </c>
      <c r="BI87" s="7">
        <f t="shared" si="53"/>
        <v>-2108.6707711056897</v>
      </c>
      <c r="BJ87" s="7">
        <f t="shared" si="53"/>
        <v>-2279.4421074939901</v>
      </c>
      <c r="BK87" s="7">
        <f t="shared" si="53"/>
        <v>-2460.7649537866846</v>
      </c>
      <c r="BL87" s="7">
        <f t="shared" si="53"/>
        <v>-2646.293255142004</v>
      </c>
      <c r="BM87" s="7">
        <f t="shared" si="53"/>
        <v>-2843.0429614891636</v>
      </c>
      <c r="BN87" s="7">
        <f t="shared" si="53"/>
        <v>-3031.3112192723702</v>
      </c>
      <c r="BO87" s="7">
        <f t="shared" si="53"/>
        <v>-3236.7803802492281</v>
      </c>
      <c r="BP87" s="7">
        <f t="shared" si="53"/>
        <v>-3435.716289829184</v>
      </c>
      <c r="BQ87" s="7">
        <f t="shared" si="53"/>
        <v>-3645.0345245522767</v>
      </c>
      <c r="BR87" s="7">
        <f t="shared" si="53"/>
        <v>-3865.3734066816946</v>
      </c>
      <c r="BS87" s="7">
        <f t="shared" si="53"/>
        <v>-4079.9338267013759</v>
      </c>
      <c r="BT87" s="7">
        <f t="shared" si="53"/>
        <v>-4180.2936553161762</v>
      </c>
      <c r="BU87" s="7">
        <f t="shared" si="53"/>
        <v>-4287.6657078078724</v>
      </c>
      <c r="BV87" s="7">
        <f t="shared" si="53"/>
        <v>-4387.415657177793</v>
      </c>
      <c r="BW87" s="7">
        <f t="shared" si="53"/>
        <v>-4487.8789154037322</v>
      </c>
      <c r="BX87" s="7">
        <f t="shared" si="53"/>
        <v>-4589.8318151248923</v>
      </c>
      <c r="BY87" s="7">
        <f t="shared" si="53"/>
        <v>-4692.3872139073828</v>
      </c>
    </row>
    <row r="88" spans="1:77" x14ac:dyDescent="0.2">
      <c r="A88" s="12"/>
      <c r="B88" s="4" t="s">
        <v>123</v>
      </c>
      <c r="C88" s="7">
        <v>3131.8938480793099</v>
      </c>
      <c r="D88" s="7">
        <v>2990.40933701213</v>
      </c>
      <c r="E88" s="7">
        <v>3438.1030522236601</v>
      </c>
      <c r="F88" s="7">
        <v>3587.7750965494201</v>
      </c>
      <c r="G88" s="7">
        <v>3823.95262121203</v>
      </c>
      <c r="H88" s="7">
        <v>3787.7428754213602</v>
      </c>
      <c r="I88" s="7">
        <v>3487.53188288201</v>
      </c>
      <c r="J88" s="7">
        <v>3274.3365217228902</v>
      </c>
      <c r="K88" s="7">
        <v>3159.2727199517399</v>
      </c>
      <c r="L88" s="7">
        <v>3030.9356312342402</v>
      </c>
      <c r="M88" s="7">
        <v>2942.3036844644198</v>
      </c>
      <c r="N88" s="7">
        <v>2870.4913358990498</v>
      </c>
      <c r="O88" s="7">
        <v>2820.5461856793399</v>
      </c>
      <c r="P88" s="7">
        <v>2731.8334254008</v>
      </c>
      <c r="Q88" s="7">
        <v>2656.7203524671299</v>
      </c>
      <c r="R88" s="7">
        <v>2579.1338526443401</v>
      </c>
      <c r="S88" s="7">
        <v>2442.2664326962799</v>
      </c>
      <c r="T88" s="7">
        <v>2274.2373696694899</v>
      </c>
      <c r="U88" s="7">
        <v>2156.98431502213</v>
      </c>
      <c r="V88" s="7">
        <v>2027.3089304534701</v>
      </c>
      <c r="W88" s="7">
        <v>1894.7497614937199</v>
      </c>
      <c r="X88" s="7">
        <v>1754.18997507878</v>
      </c>
      <c r="Y88" s="7">
        <v>1577.4093204112801</v>
      </c>
      <c r="Z88" s="7">
        <v>1421.2065821214101</v>
      </c>
      <c r="AA88" s="7">
        <v>1257.3470758313599</v>
      </c>
      <c r="AB88" s="7">
        <v>1065.0146853444701</v>
      </c>
      <c r="AC88" s="7">
        <v>886.91962720328502</v>
      </c>
      <c r="AD88" s="7">
        <v>674.40645234772398</v>
      </c>
      <c r="AE88" s="7">
        <v>483.66199007929998</v>
      </c>
      <c r="AF88" s="7">
        <v>286.11129464973601</v>
      </c>
      <c r="AG88" s="7">
        <v>78.448923091924101</v>
      </c>
      <c r="AH88" s="7">
        <v>78.448923091924101</v>
      </c>
      <c r="AI88" s="7">
        <v>78.448923091924101</v>
      </c>
      <c r="AJ88" s="7">
        <v>78.448923091924101</v>
      </c>
      <c r="AK88" s="7">
        <v>78.448923091924101</v>
      </c>
      <c r="AL88" s="7">
        <v>78.448923091924101</v>
      </c>
      <c r="AM88" s="7">
        <v>78.448923091924101</v>
      </c>
      <c r="AO88" s="7">
        <f t="shared" ref="AO88:BY88" si="54">+C88-C43</f>
        <v>15.220177236659765</v>
      </c>
      <c r="AP88" s="7">
        <f t="shared" si="54"/>
        <v>27.513182619350118</v>
      </c>
      <c r="AQ88" s="7">
        <f t="shared" si="54"/>
        <v>49.002953815360343</v>
      </c>
      <c r="AR88" s="7">
        <f t="shared" si="54"/>
        <v>-67.841621465479875</v>
      </c>
      <c r="AS88" s="7">
        <f t="shared" si="54"/>
        <v>-215.89902197738002</v>
      </c>
      <c r="AT88" s="7">
        <f t="shared" si="54"/>
        <v>-373.07610473509021</v>
      </c>
      <c r="AU88" s="7">
        <f t="shared" si="54"/>
        <v>-506.42449902783983</v>
      </c>
      <c r="AV88" s="7">
        <f t="shared" si="54"/>
        <v>-630.78465932964991</v>
      </c>
      <c r="AW88" s="7">
        <f t="shared" si="54"/>
        <v>-773.05675283885012</v>
      </c>
      <c r="AX88" s="7">
        <f t="shared" si="54"/>
        <v>-924.43633437798962</v>
      </c>
      <c r="AY88" s="7">
        <f t="shared" si="54"/>
        <v>-1107.71726035753</v>
      </c>
      <c r="AZ88" s="7">
        <f t="shared" si="54"/>
        <v>-1287.3981212281606</v>
      </c>
      <c r="BA88" s="7">
        <f t="shared" si="54"/>
        <v>-1506.5634361194298</v>
      </c>
      <c r="BB88" s="7">
        <f t="shared" si="54"/>
        <v>-1709.6952567240701</v>
      </c>
      <c r="BC88" s="7">
        <f t="shared" si="54"/>
        <v>-1939.7784798785901</v>
      </c>
      <c r="BD88" s="7">
        <f t="shared" si="54"/>
        <v>-2189.4047413404201</v>
      </c>
      <c r="BE88" s="7">
        <f t="shared" si="54"/>
        <v>-2415.2394459857601</v>
      </c>
      <c r="BF88" s="7">
        <f t="shared" si="54"/>
        <v>-2737.9690073290299</v>
      </c>
      <c r="BG88" s="7">
        <f t="shared" si="54"/>
        <v>-3013.8957558652796</v>
      </c>
      <c r="BH88" s="7">
        <f t="shared" si="54"/>
        <v>-3308.27917641248</v>
      </c>
      <c r="BI88" s="7">
        <f t="shared" si="54"/>
        <v>-3610.8192440469402</v>
      </c>
      <c r="BJ88" s="7">
        <f t="shared" si="54"/>
        <v>-3926.9714782494802</v>
      </c>
      <c r="BK88" s="7">
        <f t="shared" si="54"/>
        <v>-4285.3466807881396</v>
      </c>
      <c r="BL88" s="7">
        <f t="shared" si="54"/>
        <v>-4628.6336170121303</v>
      </c>
      <c r="BM88" s="7">
        <f t="shared" si="54"/>
        <v>-4985.42755268774</v>
      </c>
      <c r="BN88" s="7">
        <f t="shared" si="54"/>
        <v>-5377.3810461797293</v>
      </c>
      <c r="BO88" s="7">
        <f t="shared" si="54"/>
        <v>-5762.902342891035</v>
      </c>
      <c r="BP88" s="7">
        <f t="shared" si="54"/>
        <v>-6191.4487267785062</v>
      </c>
      <c r="BQ88" s="7">
        <f t="shared" si="54"/>
        <v>-6617.4749578933797</v>
      </c>
      <c r="BR88" s="7">
        <f t="shared" si="54"/>
        <v>-7055.1087914180043</v>
      </c>
      <c r="BS88" s="7">
        <f t="shared" si="54"/>
        <v>-7506.2398778003153</v>
      </c>
      <c r="BT88" s="7">
        <f t="shared" si="54"/>
        <v>-7752.8793822873458</v>
      </c>
      <c r="BU88" s="7">
        <f t="shared" si="54"/>
        <v>-8001.7815848143355</v>
      </c>
      <c r="BV88" s="7">
        <f t="shared" si="54"/>
        <v>-8252.9163091069458</v>
      </c>
      <c r="BW88" s="7">
        <f t="shared" si="54"/>
        <v>-8507.1554704842165</v>
      </c>
      <c r="BX88" s="7">
        <f t="shared" si="54"/>
        <v>-8764.3072936182161</v>
      </c>
      <c r="BY88" s="7">
        <f t="shared" si="54"/>
        <v>-9025.6475739170764</v>
      </c>
    </row>
    <row r="89" spans="1:77" x14ac:dyDescent="0.2">
      <c r="AO89" s="14">
        <f>+(SUM(AO69:AO88)*1000000)/1000000000</f>
        <v>4.6225660965616693E-2</v>
      </c>
      <c r="AP89" s="14">
        <f t="shared" ref="AP89" si="55">+(SUM(AP69:AP88)*1000000)/1000000000</f>
        <v>9.9664113518515965E-2</v>
      </c>
      <c r="AQ89" s="14">
        <f t="shared" ref="AQ89" si="56">+(SUM(AQ69:AQ88)*1000000)/1000000000</f>
        <v>0.15831386437955547</v>
      </c>
      <c r="AR89" s="14">
        <f t="shared" ref="AR89" si="57">+(SUM(AR69:AR88)*1000000)/1000000000</f>
        <v>0.10967608381034602</v>
      </c>
      <c r="AS89" s="14">
        <f t="shared" ref="AS89" si="58">+(SUM(AS69:AS88)*1000000)/1000000000</f>
        <v>0.19124035769197278</v>
      </c>
      <c r="AT89" s="14">
        <f t="shared" ref="AT89" si="59">+(SUM(AT69:AT88)*1000000)/1000000000</f>
        <v>0.18481735687154344</v>
      </c>
      <c r="AU89" s="14">
        <f t="shared" ref="AU89" si="60">+(SUM(AU69:AU88)*1000000)/1000000000</f>
        <v>0.16490432902455712</v>
      </c>
      <c r="AV89" s="14">
        <f t="shared" ref="AV89" si="61">+(SUM(AV69:AV88)*1000000)/1000000000</f>
        <v>0.12247288850790232</v>
      </c>
      <c r="AW89" s="14">
        <f t="shared" ref="AW89" si="62">+(SUM(AW69:AW88)*1000000)/1000000000</f>
        <v>6.6793500542990158E-2</v>
      </c>
      <c r="AX89" s="14">
        <f t="shared" ref="AX89" si="63">+(SUM(AX69:AX88)*1000000)/1000000000</f>
        <v>-6.1965683316147985E-3</v>
      </c>
      <c r="AY89" s="14">
        <f t="shared" ref="AY89" si="64">+(SUM(AY69:AY88)*1000000)/1000000000</f>
        <v>-7.7332155660442145E-2</v>
      </c>
      <c r="AZ89" s="14">
        <f t="shared" ref="AZ89" si="65">+(SUM(AZ69:AZ88)*1000000)/1000000000</f>
        <v>-0.17145916146216472</v>
      </c>
      <c r="BA89" s="14">
        <f t="shared" ref="BA89" si="66">+(SUM(BA69:BA88)*1000000)/1000000000</f>
        <v>-0.25841180005379466</v>
      </c>
      <c r="BB89" s="14">
        <f t="shared" ref="BB89" si="67">+(SUM(BB69:BB88)*1000000)/1000000000</f>
        <v>-0.34605985650561483</v>
      </c>
      <c r="BC89" s="14">
        <f t="shared" ref="BC89" si="68">+(SUM(BC69:BC88)*1000000)/1000000000</f>
        <v>-0.4552977441790349</v>
      </c>
      <c r="BD89" s="14">
        <f t="shared" ref="BD89" si="69">+(SUM(BD69:BD88)*1000000)/1000000000</f>
        <v>-0.58499474703374144</v>
      </c>
      <c r="BE89" s="14">
        <f t="shared" ref="BE89" si="70">+(SUM(BE69:BE88)*1000000)/1000000000</f>
        <v>-0.71857073554393991</v>
      </c>
      <c r="BF89" s="14">
        <f t="shared" ref="BF89" si="71">+(SUM(BF69:BF88)*1000000)/1000000000</f>
        <v>-0.93519581405061536</v>
      </c>
      <c r="BG89" s="14">
        <f t="shared" ref="BG89" si="72">+(SUM(BG69:BG88)*1000000)/1000000000</f>
        <v>-1.1945908079775207</v>
      </c>
      <c r="BH89" s="14">
        <f t="shared" ref="BH89" si="73">+(SUM(BH69:BH88)*1000000)/1000000000</f>
        <v>-1.4239049971712847</v>
      </c>
      <c r="BI89" s="14">
        <f t="shared" ref="BI89" si="74">+(SUM(BI69:BI88)*1000000)/1000000000</f>
        <v>-1.7309492264147088</v>
      </c>
      <c r="BJ89" s="14">
        <f t="shared" ref="BJ89" si="75">+(SUM(BJ69:BJ88)*1000000)/1000000000</f>
        <v>-2.0256604206784323</v>
      </c>
      <c r="BK89" s="14">
        <f>+(SUM(BK69:BK88)*1000000)/1000000000</f>
        <v>-2.1986607023533988</v>
      </c>
      <c r="BL89" s="14">
        <f t="shared" ref="BL89" si="76">+(SUM(BL69:BL88)*1000000)/1000000000</f>
        <v>-2.5396952810149016</v>
      </c>
      <c r="BM89" s="14">
        <f t="shared" ref="BM89" si="77">+(SUM(BM69:BM88)*1000000)/1000000000</f>
        <v>-2.8967052880018844</v>
      </c>
      <c r="BN89" s="14">
        <f t="shared" ref="BN89" si="78">+(SUM(BN69:BN88)*1000000)/1000000000</f>
        <v>-3.1953451536556989</v>
      </c>
      <c r="BO89" s="14">
        <f t="shared" ref="BO89" si="79">+(SUM(BO69:BO88)*1000000)/1000000000</f>
        <v>-3.5864947526753612</v>
      </c>
      <c r="BP89" s="14">
        <f t="shared" ref="BP89" si="80">+(SUM(BP69:BP88)*1000000)/1000000000</f>
        <v>-3.9041875496364882</v>
      </c>
      <c r="BQ89" s="14">
        <f t="shared" ref="BQ89" si="81">+(SUM(BQ69:BQ88)*1000000)/1000000000</f>
        <v>-4.3012408616181581</v>
      </c>
      <c r="BR89" s="14">
        <f t="shared" ref="BR89" si="82">+(SUM(BR69:BR88)*1000000)/1000000000</f>
        <v>-4.6234834589462297</v>
      </c>
      <c r="BS89" s="14">
        <f t="shared" ref="BS89" si="83">+(SUM(BS69:BS88)*1000000)/1000000000</f>
        <v>-4.774490315780282</v>
      </c>
      <c r="BT89" s="14">
        <f t="shared" ref="BT89" si="84">+(SUM(BT69:BT88)*1000000)/1000000000</f>
        <v>-4.9344465553006174</v>
      </c>
      <c r="BU89" s="14">
        <f t="shared" ref="BU89" si="85">+(SUM(BU69:BU88)*1000000)/1000000000</f>
        <v>-5.1576680405872706</v>
      </c>
      <c r="BV89" s="14">
        <f t="shared" ref="BV89" si="86">+(SUM(BV69:BV88)*1000000)/1000000000</f>
        <v>-5.3489239836821785</v>
      </c>
      <c r="BW89" s="14">
        <f t="shared" ref="BW89" si="87">+(SUM(BW69:BW88)*1000000)/1000000000</f>
        <v>-5.5519766977450287</v>
      </c>
      <c r="BX89" s="14">
        <f t="shared" ref="BX89" si="88">+(SUM(BX69:BX88)*1000000)/1000000000</f>
        <v>-5.7561755905129326</v>
      </c>
      <c r="BY89" s="14">
        <f t="shared" ref="BY89" si="89">+(SUM(BY69:BY88)*1000000)/1000000000</f>
        <v>-6.021837333136367</v>
      </c>
    </row>
    <row r="90" spans="1:77" x14ac:dyDescent="0.2">
      <c r="C90" s="10" t="s">
        <v>118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O90" s="13"/>
    </row>
    <row r="91" spans="1:77" x14ac:dyDescent="0.2">
      <c r="C91" s="10" t="s">
        <v>117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</row>
    <row r="92" spans="1:77" x14ac:dyDescent="0.2">
      <c r="C92" s="11" t="s">
        <v>2</v>
      </c>
      <c r="D92" s="11" t="s">
        <v>3</v>
      </c>
      <c r="E92" s="11" t="s">
        <v>4</v>
      </c>
      <c r="F92" s="11" t="s">
        <v>5</v>
      </c>
      <c r="G92" s="11" t="s">
        <v>6</v>
      </c>
      <c r="H92" s="11" t="s">
        <v>7</v>
      </c>
      <c r="I92" s="11" t="s">
        <v>8</v>
      </c>
      <c r="J92" s="11" t="s">
        <v>9</v>
      </c>
      <c r="K92" s="11" t="s">
        <v>10</v>
      </c>
      <c r="L92" s="11" t="s">
        <v>11</v>
      </c>
      <c r="M92" s="11" t="s">
        <v>12</v>
      </c>
      <c r="N92" s="11" t="s">
        <v>13</v>
      </c>
      <c r="O92" s="11" t="s">
        <v>14</v>
      </c>
      <c r="P92" s="11" t="s">
        <v>15</v>
      </c>
      <c r="Q92" s="11" t="s">
        <v>16</v>
      </c>
      <c r="R92" s="11" t="s">
        <v>17</v>
      </c>
      <c r="S92" s="11" t="s">
        <v>18</v>
      </c>
      <c r="T92" s="11" t="s">
        <v>19</v>
      </c>
      <c r="U92" s="11" t="s">
        <v>20</v>
      </c>
      <c r="V92" s="11" t="s">
        <v>21</v>
      </c>
      <c r="W92" s="11" t="s">
        <v>22</v>
      </c>
      <c r="X92" s="11" t="s">
        <v>23</v>
      </c>
      <c r="Y92" s="11" t="s">
        <v>24</v>
      </c>
      <c r="Z92" s="11" t="s">
        <v>25</v>
      </c>
      <c r="AA92" s="11" t="s">
        <v>26</v>
      </c>
      <c r="AB92" s="11" t="s">
        <v>27</v>
      </c>
      <c r="AC92" s="11" t="s">
        <v>28</v>
      </c>
      <c r="AD92" s="11" t="s">
        <v>29</v>
      </c>
      <c r="AE92" s="11" t="s">
        <v>30</v>
      </c>
      <c r="AF92" s="11" t="s">
        <v>31</v>
      </c>
      <c r="AG92" s="11" t="s">
        <v>32</v>
      </c>
      <c r="AH92" s="11" t="s">
        <v>33</v>
      </c>
      <c r="AI92" s="11" t="s">
        <v>34</v>
      </c>
      <c r="AJ92" s="11" t="s">
        <v>35</v>
      </c>
      <c r="AK92" s="11" t="s">
        <v>36</v>
      </c>
      <c r="AL92" s="11" t="s">
        <v>37</v>
      </c>
      <c r="AM92" s="11" t="s">
        <v>38</v>
      </c>
      <c r="AO92" s="11" t="s">
        <v>2</v>
      </c>
      <c r="AP92" s="11" t="s">
        <v>3</v>
      </c>
      <c r="AQ92" s="11" t="s">
        <v>4</v>
      </c>
      <c r="AR92" s="11" t="s">
        <v>5</v>
      </c>
      <c r="AS92" s="11" t="s">
        <v>6</v>
      </c>
      <c r="AT92" s="11" t="s">
        <v>7</v>
      </c>
      <c r="AU92" s="11" t="s">
        <v>8</v>
      </c>
      <c r="AV92" s="11" t="s">
        <v>9</v>
      </c>
      <c r="AW92" s="11" t="s">
        <v>10</v>
      </c>
      <c r="AX92" s="11" t="s">
        <v>11</v>
      </c>
      <c r="AY92" s="11" t="s">
        <v>12</v>
      </c>
      <c r="AZ92" s="11" t="s">
        <v>13</v>
      </c>
      <c r="BA92" s="11" t="s">
        <v>14</v>
      </c>
      <c r="BB92" s="11" t="s">
        <v>15</v>
      </c>
      <c r="BC92" s="11" t="s">
        <v>16</v>
      </c>
      <c r="BD92" s="11" t="s">
        <v>17</v>
      </c>
      <c r="BE92" s="11" t="s">
        <v>18</v>
      </c>
      <c r="BF92" s="11" t="s">
        <v>19</v>
      </c>
      <c r="BG92" s="11" t="s">
        <v>20</v>
      </c>
      <c r="BH92" s="11" t="s">
        <v>21</v>
      </c>
      <c r="BI92" s="11" t="s">
        <v>22</v>
      </c>
      <c r="BJ92" s="11" t="s">
        <v>23</v>
      </c>
      <c r="BK92" s="11" t="s">
        <v>24</v>
      </c>
      <c r="BL92" s="11" t="s">
        <v>25</v>
      </c>
      <c r="BM92" s="11" t="s">
        <v>26</v>
      </c>
      <c r="BN92" s="11" t="s">
        <v>27</v>
      </c>
      <c r="BO92" s="11" t="s">
        <v>28</v>
      </c>
      <c r="BP92" s="11" t="s">
        <v>29</v>
      </c>
      <c r="BQ92" s="11" t="s">
        <v>30</v>
      </c>
      <c r="BR92" s="11" t="s">
        <v>31</v>
      </c>
      <c r="BS92" s="11" t="s">
        <v>32</v>
      </c>
      <c r="BT92" s="11" t="s">
        <v>33</v>
      </c>
      <c r="BU92" s="11" t="s">
        <v>34</v>
      </c>
      <c r="BV92" s="11" t="s">
        <v>35</v>
      </c>
      <c r="BW92" s="11" t="s">
        <v>36</v>
      </c>
      <c r="BX92" s="11" t="s">
        <v>37</v>
      </c>
      <c r="BY92" s="11" t="s">
        <v>38</v>
      </c>
    </row>
    <row r="93" spans="1:77" x14ac:dyDescent="0.2">
      <c r="A93" s="12" t="s">
        <v>0</v>
      </c>
      <c r="B93" s="4" t="s">
        <v>133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O93" s="9">
        <f>+C93-C4</f>
        <v>0</v>
      </c>
      <c r="AP93" s="9">
        <f t="shared" ref="AP93:BY93" si="90">+D93-D4</f>
        <v>0</v>
      </c>
      <c r="AQ93" s="9">
        <f t="shared" si="90"/>
        <v>0</v>
      </c>
      <c r="AR93" s="9">
        <f t="shared" si="90"/>
        <v>0</v>
      </c>
      <c r="AS93" s="9">
        <f t="shared" si="90"/>
        <v>0</v>
      </c>
      <c r="AT93" s="9">
        <f t="shared" si="90"/>
        <v>0</v>
      </c>
      <c r="AU93" s="9">
        <f t="shared" si="90"/>
        <v>0</v>
      </c>
      <c r="AV93" s="9">
        <f t="shared" si="90"/>
        <v>0</v>
      </c>
      <c r="AW93" s="9">
        <f t="shared" si="90"/>
        <v>0</v>
      </c>
      <c r="AX93" s="9">
        <f t="shared" si="90"/>
        <v>0</v>
      </c>
      <c r="AY93" s="9">
        <f t="shared" si="90"/>
        <v>0</v>
      </c>
      <c r="AZ93" s="9">
        <f t="shared" si="90"/>
        <v>0</v>
      </c>
      <c r="BA93" s="9">
        <f t="shared" si="90"/>
        <v>0</v>
      </c>
      <c r="BB93" s="9">
        <f t="shared" si="90"/>
        <v>0</v>
      </c>
      <c r="BC93" s="9">
        <f t="shared" si="90"/>
        <v>0</v>
      </c>
      <c r="BD93" s="9">
        <f t="shared" si="90"/>
        <v>0</v>
      </c>
      <c r="BE93" s="9">
        <f t="shared" si="90"/>
        <v>0</v>
      </c>
      <c r="BF93" s="9">
        <f t="shared" si="90"/>
        <v>0</v>
      </c>
      <c r="BG93" s="9">
        <f t="shared" si="90"/>
        <v>0</v>
      </c>
      <c r="BH93" s="9">
        <f t="shared" si="90"/>
        <v>0</v>
      </c>
      <c r="BI93" s="9">
        <f t="shared" si="90"/>
        <v>0</v>
      </c>
      <c r="BJ93" s="9">
        <f t="shared" si="90"/>
        <v>0</v>
      </c>
      <c r="BK93" s="9">
        <f t="shared" si="90"/>
        <v>0</v>
      </c>
      <c r="BL93" s="9">
        <f t="shared" si="90"/>
        <v>0</v>
      </c>
      <c r="BM93" s="9">
        <f t="shared" si="90"/>
        <v>0</v>
      </c>
      <c r="BN93" s="9">
        <f t="shared" si="90"/>
        <v>0</v>
      </c>
      <c r="BO93" s="9">
        <f t="shared" si="90"/>
        <v>0</v>
      </c>
      <c r="BP93" s="9">
        <f t="shared" si="90"/>
        <v>0</v>
      </c>
      <c r="BQ93" s="9">
        <f t="shared" si="90"/>
        <v>0</v>
      </c>
      <c r="BR93" s="9">
        <f t="shared" si="90"/>
        <v>0</v>
      </c>
      <c r="BS93" s="9">
        <f t="shared" si="90"/>
        <v>0</v>
      </c>
      <c r="BT93" s="9">
        <f t="shared" si="90"/>
        <v>0</v>
      </c>
      <c r="BU93" s="9">
        <f t="shared" si="90"/>
        <v>0</v>
      </c>
      <c r="BV93" s="9">
        <f t="shared" si="90"/>
        <v>0</v>
      </c>
      <c r="BW93" s="9">
        <f t="shared" si="90"/>
        <v>0</v>
      </c>
      <c r="BX93" s="9">
        <f t="shared" si="90"/>
        <v>0</v>
      </c>
      <c r="BY93" s="9">
        <f t="shared" si="90"/>
        <v>0</v>
      </c>
    </row>
    <row r="94" spans="1:77" x14ac:dyDescent="0.2">
      <c r="A94" s="12"/>
      <c r="B94" s="4" t="s">
        <v>134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O94" s="9">
        <f t="shared" ref="AO94:BY94" si="91">+C94-C5</f>
        <v>0</v>
      </c>
      <c r="AP94" s="9">
        <f t="shared" si="91"/>
        <v>0</v>
      </c>
      <c r="AQ94" s="9">
        <f t="shared" si="91"/>
        <v>0</v>
      </c>
      <c r="AR94" s="9">
        <f t="shared" si="91"/>
        <v>0</v>
      </c>
      <c r="AS94" s="9">
        <f t="shared" si="91"/>
        <v>0</v>
      </c>
      <c r="AT94" s="9">
        <f t="shared" si="91"/>
        <v>0</v>
      </c>
      <c r="AU94" s="9">
        <f t="shared" si="91"/>
        <v>0</v>
      </c>
      <c r="AV94" s="9">
        <f t="shared" si="91"/>
        <v>0</v>
      </c>
      <c r="AW94" s="9">
        <f t="shared" si="91"/>
        <v>0</v>
      </c>
      <c r="AX94" s="9">
        <f t="shared" si="91"/>
        <v>0</v>
      </c>
      <c r="AY94" s="9">
        <f t="shared" si="91"/>
        <v>0</v>
      </c>
      <c r="AZ94" s="9">
        <f t="shared" si="91"/>
        <v>0</v>
      </c>
      <c r="BA94" s="9">
        <f t="shared" si="91"/>
        <v>0</v>
      </c>
      <c r="BB94" s="9">
        <f t="shared" si="91"/>
        <v>0</v>
      </c>
      <c r="BC94" s="9">
        <f t="shared" si="91"/>
        <v>0</v>
      </c>
      <c r="BD94" s="9">
        <f t="shared" si="91"/>
        <v>0</v>
      </c>
      <c r="BE94" s="9">
        <f t="shared" si="91"/>
        <v>0</v>
      </c>
      <c r="BF94" s="9">
        <f t="shared" si="91"/>
        <v>0</v>
      </c>
      <c r="BG94" s="9">
        <f t="shared" si="91"/>
        <v>0</v>
      </c>
      <c r="BH94" s="9">
        <f t="shared" si="91"/>
        <v>0</v>
      </c>
      <c r="BI94" s="9">
        <f t="shared" si="91"/>
        <v>0</v>
      </c>
      <c r="BJ94" s="9">
        <f t="shared" si="91"/>
        <v>0</v>
      </c>
      <c r="BK94" s="9">
        <f t="shared" si="91"/>
        <v>0</v>
      </c>
      <c r="BL94" s="9">
        <f t="shared" si="91"/>
        <v>0</v>
      </c>
      <c r="BM94" s="9">
        <f t="shared" si="91"/>
        <v>0</v>
      </c>
      <c r="BN94" s="9">
        <f t="shared" si="91"/>
        <v>0</v>
      </c>
      <c r="BO94" s="9">
        <f t="shared" si="91"/>
        <v>0</v>
      </c>
      <c r="BP94" s="9">
        <f t="shared" si="91"/>
        <v>0</v>
      </c>
      <c r="BQ94" s="9">
        <f t="shared" si="91"/>
        <v>0</v>
      </c>
      <c r="BR94" s="9">
        <f t="shared" si="91"/>
        <v>0</v>
      </c>
      <c r="BS94" s="9">
        <f t="shared" si="91"/>
        <v>0</v>
      </c>
      <c r="BT94" s="9">
        <f t="shared" si="91"/>
        <v>0</v>
      </c>
      <c r="BU94" s="9">
        <f t="shared" si="91"/>
        <v>0</v>
      </c>
      <c r="BV94" s="9">
        <f t="shared" si="91"/>
        <v>0</v>
      </c>
      <c r="BW94" s="9">
        <f t="shared" si="91"/>
        <v>0</v>
      </c>
      <c r="BX94" s="9">
        <f t="shared" si="91"/>
        <v>0</v>
      </c>
      <c r="BY94" s="9">
        <f t="shared" si="91"/>
        <v>0</v>
      </c>
    </row>
    <row r="95" spans="1:77" x14ac:dyDescent="0.2">
      <c r="A95" s="12"/>
      <c r="B95" s="4" t="s">
        <v>135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O95" s="9">
        <f t="shared" ref="AO95:BY95" si="92">+C95-C6</f>
        <v>0</v>
      </c>
      <c r="AP95" s="9">
        <f t="shared" si="92"/>
        <v>0</v>
      </c>
      <c r="AQ95" s="9">
        <f t="shared" si="92"/>
        <v>0</v>
      </c>
      <c r="AR95" s="9">
        <f t="shared" si="92"/>
        <v>0</v>
      </c>
      <c r="AS95" s="9">
        <f t="shared" si="92"/>
        <v>0</v>
      </c>
      <c r="AT95" s="9">
        <f t="shared" si="92"/>
        <v>0</v>
      </c>
      <c r="AU95" s="9">
        <f t="shared" si="92"/>
        <v>0</v>
      </c>
      <c r="AV95" s="9">
        <f t="shared" si="92"/>
        <v>0</v>
      </c>
      <c r="AW95" s="9">
        <f t="shared" si="92"/>
        <v>0</v>
      </c>
      <c r="AX95" s="9">
        <f t="shared" si="92"/>
        <v>0</v>
      </c>
      <c r="AY95" s="9">
        <f t="shared" si="92"/>
        <v>0</v>
      </c>
      <c r="AZ95" s="9">
        <f t="shared" si="92"/>
        <v>0</v>
      </c>
      <c r="BA95" s="9">
        <f t="shared" si="92"/>
        <v>0</v>
      </c>
      <c r="BB95" s="9">
        <f t="shared" si="92"/>
        <v>0</v>
      </c>
      <c r="BC95" s="9">
        <f t="shared" si="92"/>
        <v>0</v>
      </c>
      <c r="BD95" s="9">
        <f t="shared" si="92"/>
        <v>0</v>
      </c>
      <c r="BE95" s="9">
        <f t="shared" si="92"/>
        <v>0</v>
      </c>
      <c r="BF95" s="9">
        <f t="shared" si="92"/>
        <v>0</v>
      </c>
      <c r="BG95" s="9">
        <f t="shared" si="92"/>
        <v>0</v>
      </c>
      <c r="BH95" s="9">
        <f t="shared" si="92"/>
        <v>0</v>
      </c>
      <c r="BI95" s="9">
        <f t="shared" si="92"/>
        <v>0</v>
      </c>
      <c r="BJ95" s="9">
        <f t="shared" si="92"/>
        <v>0</v>
      </c>
      <c r="BK95" s="9">
        <f t="shared" si="92"/>
        <v>0</v>
      </c>
      <c r="BL95" s="9">
        <f t="shared" si="92"/>
        <v>0</v>
      </c>
      <c r="BM95" s="9">
        <f t="shared" si="92"/>
        <v>0</v>
      </c>
      <c r="BN95" s="9">
        <f t="shared" si="92"/>
        <v>0</v>
      </c>
      <c r="BO95" s="9">
        <f t="shared" si="92"/>
        <v>0</v>
      </c>
      <c r="BP95" s="9">
        <f t="shared" si="92"/>
        <v>0</v>
      </c>
      <c r="BQ95" s="9">
        <f t="shared" si="92"/>
        <v>0</v>
      </c>
      <c r="BR95" s="9">
        <f t="shared" si="92"/>
        <v>0</v>
      </c>
      <c r="BS95" s="9">
        <f t="shared" si="92"/>
        <v>0</v>
      </c>
      <c r="BT95" s="9">
        <f t="shared" si="92"/>
        <v>0</v>
      </c>
      <c r="BU95" s="9">
        <f t="shared" si="92"/>
        <v>0</v>
      </c>
      <c r="BV95" s="9">
        <f t="shared" si="92"/>
        <v>0</v>
      </c>
      <c r="BW95" s="9">
        <f t="shared" si="92"/>
        <v>0</v>
      </c>
      <c r="BX95" s="9">
        <f t="shared" si="92"/>
        <v>0</v>
      </c>
      <c r="BY95" s="9">
        <f t="shared" si="92"/>
        <v>0</v>
      </c>
    </row>
    <row r="96" spans="1:77" x14ac:dyDescent="0.2">
      <c r="A96" s="12"/>
      <c r="B96" s="4" t="s">
        <v>136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O96" s="9">
        <f t="shared" ref="AO96:BY96" si="93">+C96-C7</f>
        <v>0</v>
      </c>
      <c r="AP96" s="9">
        <f t="shared" si="93"/>
        <v>0</v>
      </c>
      <c r="AQ96" s="9">
        <f t="shared" si="93"/>
        <v>0</v>
      </c>
      <c r="AR96" s="9">
        <f t="shared" si="93"/>
        <v>0</v>
      </c>
      <c r="AS96" s="9">
        <f t="shared" si="93"/>
        <v>0</v>
      </c>
      <c r="AT96" s="9">
        <f t="shared" si="93"/>
        <v>0</v>
      </c>
      <c r="AU96" s="9">
        <f t="shared" si="93"/>
        <v>0</v>
      </c>
      <c r="AV96" s="9">
        <f t="shared" si="93"/>
        <v>0</v>
      </c>
      <c r="AW96" s="9">
        <f t="shared" si="93"/>
        <v>0</v>
      </c>
      <c r="AX96" s="9">
        <f t="shared" si="93"/>
        <v>0</v>
      </c>
      <c r="AY96" s="9">
        <f t="shared" si="93"/>
        <v>0</v>
      </c>
      <c r="AZ96" s="9">
        <f t="shared" si="93"/>
        <v>0</v>
      </c>
      <c r="BA96" s="9">
        <f t="shared" si="93"/>
        <v>0</v>
      </c>
      <c r="BB96" s="9">
        <f t="shared" si="93"/>
        <v>0</v>
      </c>
      <c r="BC96" s="9">
        <f t="shared" si="93"/>
        <v>0</v>
      </c>
      <c r="BD96" s="9">
        <f t="shared" si="93"/>
        <v>0</v>
      </c>
      <c r="BE96" s="9">
        <f t="shared" si="93"/>
        <v>0</v>
      </c>
      <c r="BF96" s="9">
        <f t="shared" si="93"/>
        <v>0</v>
      </c>
      <c r="BG96" s="9">
        <f t="shared" si="93"/>
        <v>0</v>
      </c>
      <c r="BH96" s="9">
        <f t="shared" si="93"/>
        <v>0</v>
      </c>
      <c r="BI96" s="9">
        <f t="shared" si="93"/>
        <v>0</v>
      </c>
      <c r="BJ96" s="9">
        <f t="shared" si="93"/>
        <v>0</v>
      </c>
      <c r="BK96" s="9">
        <f t="shared" si="93"/>
        <v>0</v>
      </c>
      <c r="BL96" s="9">
        <f t="shared" si="93"/>
        <v>0</v>
      </c>
      <c r="BM96" s="9">
        <f t="shared" si="93"/>
        <v>0</v>
      </c>
      <c r="BN96" s="9">
        <f t="shared" si="93"/>
        <v>0</v>
      </c>
      <c r="BO96" s="9">
        <f t="shared" si="93"/>
        <v>0</v>
      </c>
      <c r="BP96" s="9">
        <f t="shared" si="93"/>
        <v>0</v>
      </c>
      <c r="BQ96" s="9">
        <f t="shared" si="93"/>
        <v>0</v>
      </c>
      <c r="BR96" s="9">
        <f t="shared" si="93"/>
        <v>0</v>
      </c>
      <c r="BS96" s="9">
        <f t="shared" si="93"/>
        <v>0</v>
      </c>
      <c r="BT96" s="9">
        <f t="shared" si="93"/>
        <v>0</v>
      </c>
      <c r="BU96" s="9">
        <f t="shared" si="93"/>
        <v>0</v>
      </c>
      <c r="BV96" s="9">
        <f t="shared" si="93"/>
        <v>0</v>
      </c>
      <c r="BW96" s="9">
        <f t="shared" si="93"/>
        <v>0</v>
      </c>
      <c r="BX96" s="9">
        <f t="shared" si="93"/>
        <v>0</v>
      </c>
      <c r="BY96" s="9">
        <f t="shared" si="93"/>
        <v>0</v>
      </c>
    </row>
    <row r="97" spans="1:77" x14ac:dyDescent="0.2">
      <c r="A97" s="12"/>
      <c r="B97" s="4" t="s">
        <v>122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O97" s="9">
        <f t="shared" ref="AO97:BY97" si="94">+C97-C8</f>
        <v>0</v>
      </c>
      <c r="AP97" s="9">
        <f t="shared" si="94"/>
        <v>0</v>
      </c>
      <c r="AQ97" s="9">
        <f t="shared" si="94"/>
        <v>0</v>
      </c>
      <c r="AR97" s="9">
        <f t="shared" si="94"/>
        <v>0</v>
      </c>
      <c r="AS97" s="9">
        <f t="shared" si="94"/>
        <v>0</v>
      </c>
      <c r="AT97" s="9">
        <f t="shared" si="94"/>
        <v>0</v>
      </c>
      <c r="AU97" s="9">
        <f t="shared" si="94"/>
        <v>0</v>
      </c>
      <c r="AV97" s="9">
        <f t="shared" si="94"/>
        <v>0</v>
      </c>
      <c r="AW97" s="9">
        <f t="shared" si="94"/>
        <v>0</v>
      </c>
      <c r="AX97" s="9">
        <f t="shared" si="94"/>
        <v>0</v>
      </c>
      <c r="AY97" s="9">
        <f t="shared" si="94"/>
        <v>0</v>
      </c>
      <c r="AZ97" s="9">
        <f t="shared" si="94"/>
        <v>0</v>
      </c>
      <c r="BA97" s="9">
        <f t="shared" si="94"/>
        <v>0</v>
      </c>
      <c r="BB97" s="9">
        <f t="shared" si="94"/>
        <v>0</v>
      </c>
      <c r="BC97" s="9">
        <f t="shared" si="94"/>
        <v>0</v>
      </c>
      <c r="BD97" s="9">
        <f t="shared" si="94"/>
        <v>0</v>
      </c>
      <c r="BE97" s="9">
        <f t="shared" si="94"/>
        <v>0</v>
      </c>
      <c r="BF97" s="9">
        <f t="shared" si="94"/>
        <v>0</v>
      </c>
      <c r="BG97" s="9">
        <f t="shared" si="94"/>
        <v>0</v>
      </c>
      <c r="BH97" s="9">
        <f t="shared" si="94"/>
        <v>0</v>
      </c>
      <c r="BI97" s="9">
        <f t="shared" si="94"/>
        <v>0</v>
      </c>
      <c r="BJ97" s="9">
        <f t="shared" si="94"/>
        <v>0</v>
      </c>
      <c r="BK97" s="9">
        <f t="shared" si="94"/>
        <v>0</v>
      </c>
      <c r="BL97" s="9">
        <f t="shared" si="94"/>
        <v>0</v>
      </c>
      <c r="BM97" s="9">
        <f t="shared" si="94"/>
        <v>0</v>
      </c>
      <c r="BN97" s="9">
        <f t="shared" si="94"/>
        <v>0</v>
      </c>
      <c r="BO97" s="9">
        <f t="shared" si="94"/>
        <v>0</v>
      </c>
      <c r="BP97" s="9">
        <f t="shared" si="94"/>
        <v>0</v>
      </c>
      <c r="BQ97" s="9">
        <f t="shared" si="94"/>
        <v>0</v>
      </c>
      <c r="BR97" s="9">
        <f t="shared" si="94"/>
        <v>0</v>
      </c>
      <c r="BS97" s="9">
        <f t="shared" si="94"/>
        <v>0</v>
      </c>
      <c r="BT97" s="9">
        <f t="shared" si="94"/>
        <v>0</v>
      </c>
      <c r="BU97" s="9">
        <f t="shared" si="94"/>
        <v>0</v>
      </c>
      <c r="BV97" s="9">
        <f t="shared" si="94"/>
        <v>0</v>
      </c>
      <c r="BW97" s="9">
        <f t="shared" si="94"/>
        <v>0</v>
      </c>
      <c r="BX97" s="9">
        <f t="shared" si="94"/>
        <v>0</v>
      </c>
      <c r="BY97" s="9">
        <f t="shared" si="94"/>
        <v>0</v>
      </c>
    </row>
    <row r="98" spans="1:77" x14ac:dyDescent="0.2">
      <c r="A98" s="12"/>
      <c r="B98" s="4" t="s">
        <v>128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O98" s="9">
        <f t="shared" ref="AO98:BY98" si="95">+C98-C9</f>
        <v>0</v>
      </c>
      <c r="AP98" s="9">
        <f t="shared" si="95"/>
        <v>0</v>
      </c>
      <c r="AQ98" s="9">
        <f t="shared" si="95"/>
        <v>0</v>
      </c>
      <c r="AR98" s="9">
        <f t="shared" si="95"/>
        <v>0</v>
      </c>
      <c r="AS98" s="9">
        <f t="shared" si="95"/>
        <v>0</v>
      </c>
      <c r="AT98" s="9">
        <f t="shared" si="95"/>
        <v>0</v>
      </c>
      <c r="AU98" s="9">
        <f t="shared" si="95"/>
        <v>0</v>
      </c>
      <c r="AV98" s="9">
        <f t="shared" si="95"/>
        <v>0</v>
      </c>
      <c r="AW98" s="9">
        <f t="shared" si="95"/>
        <v>0</v>
      </c>
      <c r="AX98" s="9">
        <f t="shared" si="95"/>
        <v>0</v>
      </c>
      <c r="AY98" s="9">
        <f t="shared" si="95"/>
        <v>0</v>
      </c>
      <c r="AZ98" s="9">
        <f t="shared" si="95"/>
        <v>0</v>
      </c>
      <c r="BA98" s="9">
        <f t="shared" si="95"/>
        <v>0</v>
      </c>
      <c r="BB98" s="9">
        <f t="shared" si="95"/>
        <v>0</v>
      </c>
      <c r="BC98" s="9">
        <f t="shared" si="95"/>
        <v>0</v>
      </c>
      <c r="BD98" s="9">
        <f t="shared" si="95"/>
        <v>0</v>
      </c>
      <c r="BE98" s="9">
        <f t="shared" si="95"/>
        <v>0</v>
      </c>
      <c r="BF98" s="9">
        <f t="shared" si="95"/>
        <v>0</v>
      </c>
      <c r="BG98" s="9">
        <f t="shared" si="95"/>
        <v>0</v>
      </c>
      <c r="BH98" s="9">
        <f t="shared" si="95"/>
        <v>0</v>
      </c>
      <c r="BI98" s="9">
        <f t="shared" si="95"/>
        <v>0</v>
      </c>
      <c r="BJ98" s="9">
        <f t="shared" si="95"/>
        <v>0</v>
      </c>
      <c r="BK98" s="9">
        <f t="shared" si="95"/>
        <v>0</v>
      </c>
      <c r="BL98" s="9">
        <f t="shared" si="95"/>
        <v>0</v>
      </c>
      <c r="BM98" s="9">
        <f t="shared" si="95"/>
        <v>0</v>
      </c>
      <c r="BN98" s="9">
        <f t="shared" si="95"/>
        <v>0</v>
      </c>
      <c r="BO98" s="9">
        <f t="shared" si="95"/>
        <v>0</v>
      </c>
      <c r="BP98" s="9">
        <f t="shared" si="95"/>
        <v>0</v>
      </c>
      <c r="BQ98" s="9">
        <f t="shared" si="95"/>
        <v>0</v>
      </c>
      <c r="BR98" s="9">
        <f t="shared" si="95"/>
        <v>0</v>
      </c>
      <c r="BS98" s="9">
        <f t="shared" si="95"/>
        <v>0</v>
      </c>
      <c r="BT98" s="9">
        <f t="shared" si="95"/>
        <v>0</v>
      </c>
      <c r="BU98" s="9">
        <f t="shared" si="95"/>
        <v>0</v>
      </c>
      <c r="BV98" s="9">
        <f t="shared" si="95"/>
        <v>0</v>
      </c>
      <c r="BW98" s="9">
        <f t="shared" si="95"/>
        <v>0</v>
      </c>
      <c r="BX98" s="9">
        <f t="shared" si="95"/>
        <v>0</v>
      </c>
      <c r="BY98" s="9">
        <f t="shared" si="95"/>
        <v>0</v>
      </c>
    </row>
    <row r="99" spans="1:77" x14ac:dyDescent="0.2">
      <c r="A99" s="12"/>
      <c r="B99" s="4" t="s">
        <v>120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O99" s="9">
        <f t="shared" ref="AO99:BY99" si="96">+C99-C10</f>
        <v>0</v>
      </c>
      <c r="AP99" s="9">
        <f t="shared" si="96"/>
        <v>0</v>
      </c>
      <c r="AQ99" s="9">
        <f t="shared" si="96"/>
        <v>0</v>
      </c>
      <c r="AR99" s="9">
        <f t="shared" si="96"/>
        <v>0</v>
      </c>
      <c r="AS99" s="9">
        <f t="shared" si="96"/>
        <v>0</v>
      </c>
      <c r="AT99" s="9">
        <f t="shared" si="96"/>
        <v>0</v>
      </c>
      <c r="AU99" s="9">
        <f t="shared" si="96"/>
        <v>0</v>
      </c>
      <c r="AV99" s="9">
        <f t="shared" si="96"/>
        <v>0</v>
      </c>
      <c r="AW99" s="9">
        <f t="shared" si="96"/>
        <v>0</v>
      </c>
      <c r="AX99" s="9">
        <f t="shared" si="96"/>
        <v>0</v>
      </c>
      <c r="AY99" s="9">
        <f t="shared" si="96"/>
        <v>0</v>
      </c>
      <c r="AZ99" s="9">
        <f t="shared" si="96"/>
        <v>0</v>
      </c>
      <c r="BA99" s="9">
        <f t="shared" si="96"/>
        <v>0</v>
      </c>
      <c r="BB99" s="9">
        <f t="shared" si="96"/>
        <v>0</v>
      </c>
      <c r="BC99" s="9">
        <f t="shared" si="96"/>
        <v>0</v>
      </c>
      <c r="BD99" s="9">
        <f t="shared" si="96"/>
        <v>0</v>
      </c>
      <c r="BE99" s="9">
        <f t="shared" si="96"/>
        <v>0</v>
      </c>
      <c r="BF99" s="9">
        <f t="shared" si="96"/>
        <v>0</v>
      </c>
      <c r="BG99" s="9">
        <f t="shared" si="96"/>
        <v>0</v>
      </c>
      <c r="BH99" s="9">
        <f t="shared" si="96"/>
        <v>0</v>
      </c>
      <c r="BI99" s="9">
        <f t="shared" si="96"/>
        <v>0</v>
      </c>
      <c r="BJ99" s="9">
        <f t="shared" si="96"/>
        <v>0</v>
      </c>
      <c r="BK99" s="9">
        <f t="shared" si="96"/>
        <v>0</v>
      </c>
      <c r="BL99" s="9">
        <f t="shared" si="96"/>
        <v>0</v>
      </c>
      <c r="BM99" s="9">
        <f t="shared" si="96"/>
        <v>0</v>
      </c>
      <c r="BN99" s="9">
        <f t="shared" si="96"/>
        <v>0</v>
      </c>
      <c r="BO99" s="9">
        <f t="shared" si="96"/>
        <v>0</v>
      </c>
      <c r="BP99" s="9">
        <f t="shared" si="96"/>
        <v>0</v>
      </c>
      <c r="BQ99" s="9">
        <f t="shared" si="96"/>
        <v>0</v>
      </c>
      <c r="BR99" s="9">
        <f t="shared" si="96"/>
        <v>0</v>
      </c>
      <c r="BS99" s="9">
        <f t="shared" si="96"/>
        <v>0</v>
      </c>
      <c r="BT99" s="9">
        <f t="shared" si="96"/>
        <v>0</v>
      </c>
      <c r="BU99" s="9">
        <f t="shared" si="96"/>
        <v>0</v>
      </c>
      <c r="BV99" s="9">
        <f t="shared" si="96"/>
        <v>0</v>
      </c>
      <c r="BW99" s="9">
        <f t="shared" si="96"/>
        <v>0</v>
      </c>
      <c r="BX99" s="9">
        <f t="shared" si="96"/>
        <v>0</v>
      </c>
      <c r="BY99" s="9">
        <f t="shared" si="96"/>
        <v>0</v>
      </c>
    </row>
    <row r="100" spans="1:77" x14ac:dyDescent="0.2">
      <c r="A100" s="12"/>
      <c r="B100" s="4" t="s">
        <v>131</v>
      </c>
      <c r="C100" s="7">
        <v>51.902558237164698</v>
      </c>
      <c r="D100" s="7">
        <v>40.998840845540997</v>
      </c>
      <c r="E100" s="7">
        <v>28.476362316652899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243.11777343549599</v>
      </c>
      <c r="X100" s="7">
        <v>565.91155147876805</v>
      </c>
      <c r="Y100" s="7">
        <v>290.217571888549</v>
      </c>
      <c r="Z100" s="7">
        <v>109.165850002798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O100" s="9">
        <f t="shared" ref="AO100:BY100" si="97">+C100-C11</f>
        <v>0.53226954274190064</v>
      </c>
      <c r="AP100" s="9">
        <f t="shared" si="97"/>
        <v>0.54416140377259836</v>
      </c>
      <c r="AQ100" s="9">
        <f t="shared" si="97"/>
        <v>0.55214437892709967</v>
      </c>
      <c r="AR100" s="9">
        <f t="shared" si="97"/>
        <v>0</v>
      </c>
      <c r="AS100" s="9">
        <f t="shared" si="97"/>
        <v>0</v>
      </c>
      <c r="AT100" s="9">
        <f t="shared" si="97"/>
        <v>0</v>
      </c>
      <c r="AU100" s="9">
        <f t="shared" si="97"/>
        <v>0</v>
      </c>
      <c r="AV100" s="9">
        <f t="shared" si="97"/>
        <v>0</v>
      </c>
      <c r="AW100" s="9">
        <f t="shared" si="97"/>
        <v>0</v>
      </c>
      <c r="AX100" s="9">
        <f t="shared" si="97"/>
        <v>0</v>
      </c>
      <c r="AY100" s="9">
        <f t="shared" si="97"/>
        <v>0</v>
      </c>
      <c r="AZ100" s="9">
        <f t="shared" si="97"/>
        <v>0</v>
      </c>
      <c r="BA100" s="9">
        <f t="shared" si="97"/>
        <v>0</v>
      </c>
      <c r="BB100" s="9">
        <f t="shared" si="97"/>
        <v>0</v>
      </c>
      <c r="BC100" s="9">
        <f t="shared" si="97"/>
        <v>0</v>
      </c>
      <c r="BD100" s="9">
        <f t="shared" si="97"/>
        <v>0</v>
      </c>
      <c r="BE100" s="9">
        <f t="shared" si="97"/>
        <v>0</v>
      </c>
      <c r="BF100" s="9">
        <f t="shared" si="97"/>
        <v>0</v>
      </c>
      <c r="BG100" s="9">
        <f t="shared" si="97"/>
        <v>0</v>
      </c>
      <c r="BH100" s="9">
        <f t="shared" si="97"/>
        <v>0</v>
      </c>
      <c r="BI100" s="9">
        <f t="shared" si="97"/>
        <v>-140.32814913919501</v>
      </c>
      <c r="BJ100" s="9">
        <f t="shared" si="97"/>
        <v>169.82204462963006</v>
      </c>
      <c r="BK100" s="9">
        <f t="shared" si="97"/>
        <v>-13.771856840746977</v>
      </c>
      <c r="BL100" s="9">
        <f t="shared" si="97"/>
        <v>-319.759785820991</v>
      </c>
      <c r="BM100" s="9">
        <f t="shared" si="97"/>
        <v>-8.7438467145852705</v>
      </c>
      <c r="BN100" s="9">
        <f t="shared" si="97"/>
        <v>0</v>
      </c>
      <c r="BO100" s="9">
        <f t="shared" si="97"/>
        <v>0</v>
      </c>
      <c r="BP100" s="9">
        <f t="shared" si="97"/>
        <v>0</v>
      </c>
      <c r="BQ100" s="9">
        <f t="shared" si="97"/>
        <v>0</v>
      </c>
      <c r="BR100" s="9">
        <f t="shared" si="97"/>
        <v>0</v>
      </c>
      <c r="BS100" s="9">
        <f t="shared" si="97"/>
        <v>0</v>
      </c>
      <c r="BT100" s="9">
        <f t="shared" si="97"/>
        <v>0</v>
      </c>
      <c r="BU100" s="9">
        <f t="shared" si="97"/>
        <v>0</v>
      </c>
      <c r="BV100" s="9">
        <f t="shared" si="97"/>
        <v>0</v>
      </c>
      <c r="BW100" s="9">
        <f t="shared" si="97"/>
        <v>0</v>
      </c>
      <c r="BX100" s="9">
        <f t="shared" si="97"/>
        <v>0</v>
      </c>
      <c r="BY100" s="9">
        <f t="shared" si="97"/>
        <v>0</v>
      </c>
    </row>
    <row r="101" spans="1:77" x14ac:dyDescent="0.2">
      <c r="A101" s="12"/>
      <c r="B101" s="4" t="s">
        <v>119</v>
      </c>
      <c r="C101" s="7">
        <v>9.0939510815845004E-2</v>
      </c>
      <c r="D101" s="7">
        <v>8.4500275738988204E-2</v>
      </c>
      <c r="E101" s="7">
        <v>0.15827755924377401</v>
      </c>
      <c r="F101" s="7">
        <v>15.5761399242782</v>
      </c>
      <c r="G101" s="7">
        <v>17.512375722593301</v>
      </c>
      <c r="H101" s="7">
        <v>21.841417907883301</v>
      </c>
      <c r="I101" s="7">
        <v>29.873415064548301</v>
      </c>
      <c r="J101" s="7">
        <v>33.634040325944</v>
      </c>
      <c r="K101" s="7">
        <v>37.587430071390997</v>
      </c>
      <c r="L101" s="7">
        <v>41.795041937759002</v>
      </c>
      <c r="M101" s="7">
        <v>46.196281216373599</v>
      </c>
      <c r="N101" s="7">
        <v>50.772348308295498</v>
      </c>
      <c r="O101" s="7">
        <v>55.510409121006802</v>
      </c>
      <c r="P101" s="7">
        <v>60.260973243066204</v>
      </c>
      <c r="Q101" s="7">
        <v>66.070045006364495</v>
      </c>
      <c r="R101" s="7">
        <v>62.805433158453198</v>
      </c>
      <c r="S101" s="7">
        <v>66.508977788876095</v>
      </c>
      <c r="T101" s="7">
        <v>193.726943999513</v>
      </c>
      <c r="U101" s="7">
        <v>0</v>
      </c>
      <c r="V101" s="7">
        <v>81.321271816364003</v>
      </c>
      <c r="W101" s="7">
        <v>123.217426956081</v>
      </c>
      <c r="X101" s="7">
        <v>212.50163883146601</v>
      </c>
      <c r="Y101" s="7">
        <v>106.287962516105</v>
      </c>
      <c r="Z101" s="7">
        <v>157.45471792782101</v>
      </c>
      <c r="AA101" s="7">
        <v>227.681919441139</v>
      </c>
      <c r="AB101" s="7">
        <v>148.99428313984799</v>
      </c>
      <c r="AC101" s="7">
        <v>161.29144285560801</v>
      </c>
      <c r="AD101" s="7">
        <v>169.38355228088599</v>
      </c>
      <c r="AE101" s="7">
        <v>173.25730943004899</v>
      </c>
      <c r="AF101" s="7">
        <v>181.09638197949101</v>
      </c>
      <c r="AG101" s="7">
        <v>188.89721001668599</v>
      </c>
      <c r="AH101" s="7">
        <v>196.85094021872899</v>
      </c>
      <c r="AI101" s="7">
        <v>204.70384074818099</v>
      </c>
      <c r="AJ101" s="7">
        <v>212.549811841696</v>
      </c>
      <c r="AK101" s="7">
        <v>221.59982307403499</v>
      </c>
      <c r="AL101" s="7">
        <v>221.593866637921</v>
      </c>
      <c r="AM101" s="7">
        <v>228.75468254579599</v>
      </c>
      <c r="AO101" s="9">
        <f t="shared" ref="AO101:BY101" si="98">+C101-C12</f>
        <v>3.5615053575628906E-2</v>
      </c>
      <c r="AP101" s="9">
        <f t="shared" si="98"/>
        <v>3.63736632957199E-2</v>
      </c>
      <c r="AQ101" s="9">
        <f t="shared" si="98"/>
        <v>0.11756297549191691</v>
      </c>
      <c r="AR101" s="9">
        <f t="shared" si="98"/>
        <v>11.897637053866919</v>
      </c>
      <c r="AS101" s="9">
        <f t="shared" si="98"/>
        <v>13.725090986390461</v>
      </c>
      <c r="AT101" s="9">
        <f t="shared" si="98"/>
        <v>17.946671755186031</v>
      </c>
      <c r="AU101" s="9">
        <f t="shared" si="98"/>
        <v>25.837601698930801</v>
      </c>
      <c r="AV101" s="9">
        <f t="shared" si="98"/>
        <v>29.423427376184819</v>
      </c>
      <c r="AW101" s="9">
        <f t="shared" si="98"/>
        <v>33.17341993827057</v>
      </c>
      <c r="AX101" s="9">
        <f t="shared" si="98"/>
        <v>37.130946408945078</v>
      </c>
      <c r="AY101" s="9">
        <f t="shared" si="98"/>
        <v>41.239894194473152</v>
      </c>
      <c r="AZ101" s="9">
        <f t="shared" si="98"/>
        <v>45.480650600609607</v>
      </c>
      <c r="BA101" s="9">
        <f t="shared" si="98"/>
        <v>49.840866552945201</v>
      </c>
      <c r="BB101" s="9">
        <f t="shared" si="98"/>
        <v>54.187638687111111</v>
      </c>
      <c r="BC101" s="9">
        <f t="shared" si="98"/>
        <v>58.730503075030306</v>
      </c>
      <c r="BD101" s="9">
        <f t="shared" si="98"/>
        <v>54.961715901155387</v>
      </c>
      <c r="BE101" s="9">
        <f t="shared" si="98"/>
        <v>58.14527675726471</v>
      </c>
      <c r="BF101" s="9">
        <f t="shared" si="98"/>
        <v>184.87469485689743</v>
      </c>
      <c r="BG101" s="9">
        <f t="shared" si="98"/>
        <v>-9.4027215229449901</v>
      </c>
      <c r="BH101" s="9">
        <f t="shared" si="98"/>
        <v>72.142040716815487</v>
      </c>
      <c r="BI101" s="9">
        <f t="shared" si="98"/>
        <v>113.49556775738552</v>
      </c>
      <c r="BJ101" s="9">
        <f t="shared" si="98"/>
        <v>202.24251919887882</v>
      </c>
      <c r="BK101" s="9">
        <f t="shared" si="98"/>
        <v>95.497958107643996</v>
      </c>
      <c r="BL101" s="9">
        <f t="shared" si="98"/>
        <v>142.5392688957817</v>
      </c>
      <c r="BM101" s="9">
        <f t="shared" si="98"/>
        <v>212.16270511418492</v>
      </c>
      <c r="BN101" s="9">
        <f t="shared" si="98"/>
        <v>132.88697571562898</v>
      </c>
      <c r="BO101" s="9">
        <f t="shared" si="98"/>
        <v>144.57593565810251</v>
      </c>
      <c r="BP101" s="9">
        <f t="shared" si="98"/>
        <v>152.03872555921561</v>
      </c>
      <c r="BQ101" s="9">
        <f t="shared" si="98"/>
        <v>155.4102672701967</v>
      </c>
      <c r="BR101" s="9">
        <f t="shared" si="98"/>
        <v>162.6410065417914</v>
      </c>
      <c r="BS101" s="9">
        <f t="shared" si="98"/>
        <v>169.80020246698558</v>
      </c>
      <c r="BT101" s="9">
        <f t="shared" si="98"/>
        <v>177.0747608136065</v>
      </c>
      <c r="BU101" s="9">
        <f t="shared" si="98"/>
        <v>184.21144364900098</v>
      </c>
      <c r="BV101" s="9">
        <f t="shared" si="98"/>
        <v>191.3175984474243</v>
      </c>
      <c r="BW101" s="9">
        <f t="shared" si="98"/>
        <v>198.7640869365481</v>
      </c>
      <c r="BX101" s="9">
        <f t="shared" si="98"/>
        <v>197.91396038007389</v>
      </c>
      <c r="BY101" s="9">
        <f t="shared" si="98"/>
        <v>204.20909170054199</v>
      </c>
    </row>
    <row r="102" spans="1:77" x14ac:dyDescent="0.2">
      <c r="A102" s="12"/>
      <c r="B102" s="4" t="s">
        <v>125</v>
      </c>
      <c r="C102" s="7">
        <v>0</v>
      </c>
      <c r="D102" s="7">
        <v>0</v>
      </c>
      <c r="E102" s="7">
        <v>0</v>
      </c>
      <c r="F102" s="7">
        <v>0</v>
      </c>
      <c r="G102" s="7">
        <v>254.11887782696201</v>
      </c>
      <c r="H102" s="7">
        <v>1514.7406754050901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O102" s="9">
        <f t="shared" ref="AO102:BY102" si="99">+C102-C13</f>
        <v>0</v>
      </c>
      <c r="AP102" s="9">
        <f t="shared" si="99"/>
        <v>0</v>
      </c>
      <c r="AQ102" s="9">
        <f t="shared" si="99"/>
        <v>0</v>
      </c>
      <c r="AR102" s="9">
        <f t="shared" si="99"/>
        <v>-361.048940910537</v>
      </c>
      <c r="AS102" s="9">
        <f t="shared" si="99"/>
        <v>254.11887782696201</v>
      </c>
      <c r="AT102" s="9">
        <f t="shared" si="99"/>
        <v>-65.583899214619805</v>
      </c>
      <c r="AU102" s="9">
        <f t="shared" si="99"/>
        <v>-25.4837677761635</v>
      </c>
      <c r="AV102" s="9">
        <f t="shared" si="99"/>
        <v>-27.299994607505699</v>
      </c>
      <c r="AW102" s="9">
        <f t="shared" si="99"/>
        <v>-88.261196052745802</v>
      </c>
      <c r="AX102" s="9">
        <f t="shared" si="99"/>
        <v>-30.683387134950799</v>
      </c>
      <c r="AY102" s="9">
        <f t="shared" si="99"/>
        <v>-32.8716320988636</v>
      </c>
      <c r="AZ102" s="9">
        <f t="shared" si="99"/>
        <v>-34.985498847527403</v>
      </c>
      <c r="BA102" s="9">
        <f t="shared" si="99"/>
        <v>-37.391016153903003</v>
      </c>
      <c r="BB102" s="9">
        <f t="shared" si="99"/>
        <v>-39.6257881776136</v>
      </c>
      <c r="BC102" s="9">
        <f t="shared" si="99"/>
        <v>-42.479938712336001</v>
      </c>
      <c r="BD102" s="9">
        <f t="shared" si="99"/>
        <v>-45.502153537134099</v>
      </c>
      <c r="BE102" s="9">
        <f t="shared" si="99"/>
        <v>-48.503938558375097</v>
      </c>
      <c r="BF102" s="9">
        <f t="shared" si="99"/>
        <v>-51.335902641099302</v>
      </c>
      <c r="BG102" s="9">
        <f t="shared" si="99"/>
        <v>-52.777337280202403</v>
      </c>
      <c r="BH102" s="9">
        <f t="shared" si="99"/>
        <v>-54.341617608298201</v>
      </c>
      <c r="BI102" s="9">
        <f t="shared" si="99"/>
        <v>-55.529376983825301</v>
      </c>
      <c r="BJ102" s="9">
        <f t="shared" si="99"/>
        <v>-56.810352524780697</v>
      </c>
      <c r="BK102" s="9">
        <f t="shared" si="99"/>
        <v>-58.1930503210247</v>
      </c>
      <c r="BL102" s="9">
        <f t="shared" si="99"/>
        <v>-59.305437341141399</v>
      </c>
      <c r="BM102" s="9">
        <f t="shared" si="99"/>
        <v>-60.5202905937143</v>
      </c>
      <c r="BN102" s="9">
        <f t="shared" si="99"/>
        <v>-62.027233656344002</v>
      </c>
      <c r="BO102" s="9">
        <f t="shared" si="99"/>
        <v>-63.924726588628197</v>
      </c>
      <c r="BP102" s="9">
        <f t="shared" si="99"/>
        <v>-66.071332316561595</v>
      </c>
      <c r="BQ102" s="9">
        <f t="shared" si="99"/>
        <v>-72.715212544315804</v>
      </c>
      <c r="BR102" s="9">
        <f t="shared" si="99"/>
        <v>-73.521020983157001</v>
      </c>
      <c r="BS102" s="9">
        <f t="shared" si="99"/>
        <v>-73.769655444201504</v>
      </c>
      <c r="BT102" s="9">
        <f t="shared" si="99"/>
        <v>-74.011175011575403</v>
      </c>
      <c r="BU102" s="9">
        <f t="shared" si="99"/>
        <v>-73.725670992925799</v>
      </c>
      <c r="BV102" s="9">
        <f t="shared" si="99"/>
        <v>-382.353823759546</v>
      </c>
      <c r="BW102" s="9">
        <f t="shared" si="99"/>
        <v>-73.570413471152804</v>
      </c>
      <c r="BX102" s="9">
        <f t="shared" si="99"/>
        <v>-1462.2482165583399</v>
      </c>
      <c r="BY102" s="9">
        <f t="shared" si="99"/>
        <v>-96.832480039569703</v>
      </c>
    </row>
    <row r="103" spans="1:77" x14ac:dyDescent="0.2">
      <c r="A103" s="12"/>
      <c r="B103" s="4" t="s">
        <v>137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O103" s="9">
        <f t="shared" ref="AO103:BY103" si="100">+C103-C14</f>
        <v>0</v>
      </c>
      <c r="AP103" s="9">
        <f t="shared" si="100"/>
        <v>0</v>
      </c>
      <c r="AQ103" s="9">
        <f t="shared" si="100"/>
        <v>0</v>
      </c>
      <c r="AR103" s="9">
        <f t="shared" si="100"/>
        <v>0</v>
      </c>
      <c r="AS103" s="9">
        <f t="shared" si="100"/>
        <v>0</v>
      </c>
      <c r="AT103" s="9">
        <f t="shared" si="100"/>
        <v>0</v>
      </c>
      <c r="AU103" s="9">
        <f t="shared" si="100"/>
        <v>0</v>
      </c>
      <c r="AV103" s="9">
        <f t="shared" si="100"/>
        <v>0</v>
      </c>
      <c r="AW103" s="9">
        <f t="shared" si="100"/>
        <v>0</v>
      </c>
      <c r="AX103" s="9">
        <f t="shared" si="100"/>
        <v>0</v>
      </c>
      <c r="AY103" s="9">
        <f t="shared" si="100"/>
        <v>0</v>
      </c>
      <c r="AZ103" s="9">
        <f t="shared" si="100"/>
        <v>0</v>
      </c>
      <c r="BA103" s="9">
        <f t="shared" si="100"/>
        <v>0</v>
      </c>
      <c r="BB103" s="9">
        <f t="shared" si="100"/>
        <v>0</v>
      </c>
      <c r="BC103" s="9">
        <f t="shared" si="100"/>
        <v>0</v>
      </c>
      <c r="BD103" s="9">
        <f t="shared" si="100"/>
        <v>0</v>
      </c>
      <c r="BE103" s="9">
        <f t="shared" si="100"/>
        <v>0</v>
      </c>
      <c r="BF103" s="9">
        <f t="shared" si="100"/>
        <v>0</v>
      </c>
      <c r="BG103" s="9">
        <f t="shared" si="100"/>
        <v>0</v>
      </c>
      <c r="BH103" s="9">
        <f t="shared" si="100"/>
        <v>0</v>
      </c>
      <c r="BI103" s="9">
        <f t="shared" si="100"/>
        <v>0</v>
      </c>
      <c r="BJ103" s="9">
        <f t="shared" si="100"/>
        <v>0</v>
      </c>
      <c r="BK103" s="9">
        <f t="shared" si="100"/>
        <v>0</v>
      </c>
      <c r="BL103" s="9">
        <f t="shared" si="100"/>
        <v>0</v>
      </c>
      <c r="BM103" s="9">
        <f t="shared" si="100"/>
        <v>0</v>
      </c>
      <c r="BN103" s="9">
        <f t="shared" si="100"/>
        <v>0</v>
      </c>
      <c r="BO103" s="9">
        <f t="shared" si="100"/>
        <v>0</v>
      </c>
      <c r="BP103" s="9">
        <f t="shared" si="100"/>
        <v>0</v>
      </c>
      <c r="BQ103" s="9">
        <f t="shared" si="100"/>
        <v>0</v>
      </c>
      <c r="BR103" s="9">
        <f t="shared" si="100"/>
        <v>0</v>
      </c>
      <c r="BS103" s="9">
        <f t="shared" si="100"/>
        <v>0</v>
      </c>
      <c r="BT103" s="9">
        <f t="shared" si="100"/>
        <v>0</v>
      </c>
      <c r="BU103" s="9">
        <f t="shared" si="100"/>
        <v>0</v>
      </c>
      <c r="BV103" s="9">
        <f t="shared" si="100"/>
        <v>0</v>
      </c>
      <c r="BW103" s="9">
        <f t="shared" si="100"/>
        <v>0</v>
      </c>
      <c r="BX103" s="9">
        <f t="shared" si="100"/>
        <v>0</v>
      </c>
      <c r="BY103" s="9">
        <f t="shared" si="100"/>
        <v>0</v>
      </c>
    </row>
    <row r="104" spans="1:77" x14ac:dyDescent="0.2">
      <c r="A104" s="12"/>
      <c r="B104" s="4" t="s">
        <v>138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O104" s="9">
        <f t="shared" ref="AO104:BY104" si="101">+C104-C15</f>
        <v>0</v>
      </c>
      <c r="AP104" s="9">
        <f t="shared" si="101"/>
        <v>0</v>
      </c>
      <c r="AQ104" s="9">
        <f t="shared" si="101"/>
        <v>0</v>
      </c>
      <c r="AR104" s="9">
        <f t="shared" si="101"/>
        <v>0</v>
      </c>
      <c r="AS104" s="9">
        <f t="shared" si="101"/>
        <v>0</v>
      </c>
      <c r="AT104" s="9">
        <f t="shared" si="101"/>
        <v>0</v>
      </c>
      <c r="AU104" s="9">
        <f t="shared" si="101"/>
        <v>0</v>
      </c>
      <c r="AV104" s="9">
        <f t="shared" si="101"/>
        <v>0</v>
      </c>
      <c r="AW104" s="9">
        <f t="shared" si="101"/>
        <v>0</v>
      </c>
      <c r="AX104" s="9">
        <f t="shared" si="101"/>
        <v>0</v>
      </c>
      <c r="AY104" s="9">
        <f t="shared" si="101"/>
        <v>0</v>
      </c>
      <c r="AZ104" s="9">
        <f t="shared" si="101"/>
        <v>0</v>
      </c>
      <c r="BA104" s="9">
        <f t="shared" si="101"/>
        <v>0</v>
      </c>
      <c r="BB104" s="9">
        <f t="shared" si="101"/>
        <v>0</v>
      </c>
      <c r="BC104" s="9">
        <f t="shared" si="101"/>
        <v>0</v>
      </c>
      <c r="BD104" s="9">
        <f t="shared" si="101"/>
        <v>0</v>
      </c>
      <c r="BE104" s="9">
        <f t="shared" si="101"/>
        <v>0</v>
      </c>
      <c r="BF104" s="9">
        <f t="shared" si="101"/>
        <v>0</v>
      </c>
      <c r="BG104" s="9">
        <f t="shared" si="101"/>
        <v>0</v>
      </c>
      <c r="BH104" s="9">
        <f t="shared" si="101"/>
        <v>0</v>
      </c>
      <c r="BI104" s="9">
        <f t="shared" si="101"/>
        <v>0</v>
      </c>
      <c r="BJ104" s="9">
        <f t="shared" si="101"/>
        <v>0</v>
      </c>
      <c r="BK104" s="9">
        <f t="shared" si="101"/>
        <v>0</v>
      </c>
      <c r="BL104" s="9">
        <f t="shared" si="101"/>
        <v>0</v>
      </c>
      <c r="BM104" s="9">
        <f t="shared" si="101"/>
        <v>0</v>
      </c>
      <c r="BN104" s="9">
        <f t="shared" si="101"/>
        <v>0</v>
      </c>
      <c r="BO104" s="9">
        <f t="shared" si="101"/>
        <v>0</v>
      </c>
      <c r="BP104" s="9">
        <f t="shared" si="101"/>
        <v>0</v>
      </c>
      <c r="BQ104" s="9">
        <f t="shared" si="101"/>
        <v>0</v>
      </c>
      <c r="BR104" s="9">
        <f t="shared" si="101"/>
        <v>0</v>
      </c>
      <c r="BS104" s="9">
        <f t="shared" si="101"/>
        <v>0</v>
      </c>
      <c r="BT104" s="9">
        <f t="shared" si="101"/>
        <v>0</v>
      </c>
      <c r="BU104" s="9">
        <f t="shared" si="101"/>
        <v>0</v>
      </c>
      <c r="BV104" s="9">
        <f t="shared" si="101"/>
        <v>0</v>
      </c>
      <c r="BW104" s="9">
        <f t="shared" si="101"/>
        <v>0</v>
      </c>
      <c r="BX104" s="9">
        <f t="shared" si="101"/>
        <v>0</v>
      </c>
      <c r="BY104" s="9">
        <f t="shared" si="101"/>
        <v>0</v>
      </c>
    </row>
    <row r="105" spans="1:77" x14ac:dyDescent="0.2">
      <c r="A105" s="12"/>
      <c r="B105" s="4" t="s">
        <v>127</v>
      </c>
      <c r="C105" s="7">
        <v>0</v>
      </c>
      <c r="D105" s="7">
        <v>0</v>
      </c>
      <c r="E105" s="7">
        <v>5716.5253550094203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320.13364982801801</v>
      </c>
      <c r="Y105" s="7">
        <v>2768.1902919772601</v>
      </c>
      <c r="Z105" s="7">
        <v>187.834922805883</v>
      </c>
      <c r="AA105" s="7">
        <v>545.90251859534101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5716.5253550094203</v>
      </c>
      <c r="AJ105" s="7">
        <v>0</v>
      </c>
      <c r="AK105" s="7">
        <v>0</v>
      </c>
      <c r="AL105" s="7">
        <v>0</v>
      </c>
      <c r="AM105" s="7">
        <v>0</v>
      </c>
      <c r="AO105" s="9">
        <f t="shared" ref="AO105:BY105" si="102">+C105-C16</f>
        <v>0</v>
      </c>
      <c r="AP105" s="9">
        <f t="shared" si="102"/>
        <v>0</v>
      </c>
      <c r="AQ105" s="9">
        <f t="shared" si="102"/>
        <v>121.21665729245069</v>
      </c>
      <c r="AR105" s="9">
        <f t="shared" si="102"/>
        <v>0</v>
      </c>
      <c r="AS105" s="9">
        <f t="shared" si="102"/>
        <v>0</v>
      </c>
      <c r="AT105" s="9">
        <f t="shared" si="102"/>
        <v>0</v>
      </c>
      <c r="AU105" s="9">
        <f t="shared" si="102"/>
        <v>0</v>
      </c>
      <c r="AV105" s="9">
        <f t="shared" si="102"/>
        <v>0</v>
      </c>
      <c r="AW105" s="9">
        <f t="shared" si="102"/>
        <v>0</v>
      </c>
      <c r="AX105" s="9">
        <f t="shared" si="102"/>
        <v>0</v>
      </c>
      <c r="AY105" s="9">
        <f t="shared" si="102"/>
        <v>0</v>
      </c>
      <c r="AZ105" s="9">
        <f t="shared" si="102"/>
        <v>0</v>
      </c>
      <c r="BA105" s="9">
        <f t="shared" si="102"/>
        <v>0</v>
      </c>
      <c r="BB105" s="9">
        <f t="shared" si="102"/>
        <v>0</v>
      </c>
      <c r="BC105" s="9">
        <f t="shared" si="102"/>
        <v>0</v>
      </c>
      <c r="BD105" s="9">
        <f t="shared" si="102"/>
        <v>0</v>
      </c>
      <c r="BE105" s="9">
        <f t="shared" si="102"/>
        <v>0</v>
      </c>
      <c r="BF105" s="9">
        <f t="shared" si="102"/>
        <v>0</v>
      </c>
      <c r="BG105" s="9">
        <f t="shared" si="102"/>
        <v>0</v>
      </c>
      <c r="BH105" s="9">
        <f t="shared" si="102"/>
        <v>0</v>
      </c>
      <c r="BI105" s="9">
        <f t="shared" si="102"/>
        <v>0</v>
      </c>
      <c r="BJ105" s="9">
        <f t="shared" si="102"/>
        <v>320.13364982801801</v>
      </c>
      <c r="BK105" s="9">
        <f t="shared" si="102"/>
        <v>1305.7515447553701</v>
      </c>
      <c r="BL105" s="9">
        <f t="shared" si="102"/>
        <v>187.834922805883</v>
      </c>
      <c r="BM105" s="9">
        <f t="shared" si="102"/>
        <v>545.90251859534101</v>
      </c>
      <c r="BN105" s="9">
        <f t="shared" si="102"/>
        <v>0</v>
      </c>
      <c r="BO105" s="9">
        <f t="shared" si="102"/>
        <v>0</v>
      </c>
      <c r="BP105" s="9">
        <f t="shared" si="102"/>
        <v>0</v>
      </c>
      <c r="BQ105" s="9">
        <f t="shared" si="102"/>
        <v>0</v>
      </c>
      <c r="BR105" s="9">
        <f t="shared" si="102"/>
        <v>0</v>
      </c>
      <c r="BS105" s="9">
        <f t="shared" si="102"/>
        <v>0</v>
      </c>
      <c r="BT105" s="9">
        <f t="shared" si="102"/>
        <v>0</v>
      </c>
      <c r="BU105" s="9">
        <f t="shared" si="102"/>
        <v>121.21665729245069</v>
      </c>
      <c r="BV105" s="9">
        <f t="shared" si="102"/>
        <v>0</v>
      </c>
      <c r="BW105" s="9">
        <f t="shared" si="102"/>
        <v>0</v>
      </c>
      <c r="BX105" s="9">
        <f t="shared" si="102"/>
        <v>0</v>
      </c>
      <c r="BY105" s="9">
        <f t="shared" si="102"/>
        <v>0</v>
      </c>
    </row>
    <row r="106" spans="1:77" x14ac:dyDescent="0.2">
      <c r="A106" s="12"/>
      <c r="B106" s="4" t="s">
        <v>121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4194.6528227938097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O106" s="9">
        <f t="shared" ref="AO106:BY106" si="103">+C106-C17</f>
        <v>0</v>
      </c>
      <c r="AP106" s="9">
        <f t="shared" si="103"/>
        <v>0</v>
      </c>
      <c r="AQ106" s="9">
        <f t="shared" si="103"/>
        <v>0</v>
      </c>
      <c r="AR106" s="9">
        <f t="shared" si="103"/>
        <v>0</v>
      </c>
      <c r="AS106" s="9">
        <f t="shared" si="103"/>
        <v>0</v>
      </c>
      <c r="AT106" s="9">
        <f t="shared" si="103"/>
        <v>0</v>
      </c>
      <c r="AU106" s="9">
        <f t="shared" si="103"/>
        <v>0</v>
      </c>
      <c r="AV106" s="9">
        <f t="shared" si="103"/>
        <v>0</v>
      </c>
      <c r="AW106" s="9">
        <f t="shared" si="103"/>
        <v>0</v>
      </c>
      <c r="AX106" s="9">
        <f t="shared" si="103"/>
        <v>0</v>
      </c>
      <c r="AY106" s="9">
        <f t="shared" si="103"/>
        <v>0</v>
      </c>
      <c r="AZ106" s="9">
        <f t="shared" si="103"/>
        <v>0</v>
      </c>
      <c r="BA106" s="9">
        <f t="shared" si="103"/>
        <v>0</v>
      </c>
      <c r="BB106" s="9">
        <f t="shared" si="103"/>
        <v>0</v>
      </c>
      <c r="BC106" s="9">
        <f t="shared" si="103"/>
        <v>0</v>
      </c>
      <c r="BD106" s="9">
        <f t="shared" si="103"/>
        <v>0</v>
      </c>
      <c r="BE106" s="9">
        <f t="shared" si="103"/>
        <v>0</v>
      </c>
      <c r="BF106" s="9">
        <f t="shared" si="103"/>
        <v>-3602.8254572904498</v>
      </c>
      <c r="BG106" s="9">
        <f t="shared" si="103"/>
        <v>-276.68733310477501</v>
      </c>
      <c r="BH106" s="9">
        <f t="shared" si="103"/>
        <v>-286.304818897806</v>
      </c>
      <c r="BI106" s="9">
        <f t="shared" si="103"/>
        <v>-294.02477752717499</v>
      </c>
      <c r="BJ106" s="9">
        <f t="shared" si="103"/>
        <v>-4380.6360453503303</v>
      </c>
      <c r="BK106" s="9">
        <f t="shared" si="103"/>
        <v>-311.239686328353</v>
      </c>
      <c r="BL106" s="9">
        <f t="shared" si="103"/>
        <v>-325.01598333729601</v>
      </c>
      <c r="BM106" s="9">
        <f t="shared" si="103"/>
        <v>-336.03223680975202</v>
      </c>
      <c r="BN106" s="9">
        <f t="shared" si="103"/>
        <v>-344.70468474362099</v>
      </c>
      <c r="BO106" s="9">
        <f t="shared" si="103"/>
        <v>-340.00416172837703</v>
      </c>
      <c r="BP106" s="9">
        <f t="shared" si="103"/>
        <v>-348.34426917672698</v>
      </c>
      <c r="BQ106" s="9">
        <f t="shared" si="103"/>
        <v>-398.98043245988498</v>
      </c>
      <c r="BR106" s="9">
        <f t="shared" si="103"/>
        <v>-403.40181538870502</v>
      </c>
      <c r="BS106" s="9">
        <f t="shared" si="103"/>
        <v>-508.139129882053</v>
      </c>
      <c r="BT106" s="9">
        <f t="shared" si="103"/>
        <v>-1226.61529380822</v>
      </c>
      <c r="BU106" s="9">
        <f t="shared" si="103"/>
        <v>-638.89757260838701</v>
      </c>
      <c r="BV106" s="9">
        <f t="shared" si="103"/>
        <v>-409.47979368464303</v>
      </c>
      <c r="BW106" s="9">
        <f t="shared" si="103"/>
        <v>-154.114569474284</v>
      </c>
      <c r="BX106" s="9">
        <f t="shared" si="103"/>
        <v>-678.61305066972</v>
      </c>
      <c r="BY106" s="9">
        <f t="shared" si="103"/>
        <v>0</v>
      </c>
    </row>
    <row r="107" spans="1:77" x14ac:dyDescent="0.2">
      <c r="A107" s="12"/>
      <c r="B107" s="4" t="s">
        <v>126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O107" s="9">
        <f t="shared" ref="AO107:BY107" si="104">+C107-C18</f>
        <v>0</v>
      </c>
      <c r="AP107" s="9">
        <f t="shared" si="104"/>
        <v>0</v>
      </c>
      <c r="AQ107" s="9">
        <f t="shared" si="104"/>
        <v>0</v>
      </c>
      <c r="AR107" s="9">
        <f t="shared" si="104"/>
        <v>0</v>
      </c>
      <c r="AS107" s="9">
        <f t="shared" si="104"/>
        <v>0</v>
      </c>
      <c r="AT107" s="9">
        <f t="shared" si="104"/>
        <v>0</v>
      </c>
      <c r="AU107" s="9">
        <f t="shared" si="104"/>
        <v>0</v>
      </c>
      <c r="AV107" s="9">
        <f t="shared" si="104"/>
        <v>0</v>
      </c>
      <c r="AW107" s="9">
        <f t="shared" si="104"/>
        <v>0</v>
      </c>
      <c r="AX107" s="9">
        <f t="shared" si="104"/>
        <v>0</v>
      </c>
      <c r="AY107" s="9">
        <f t="shared" si="104"/>
        <v>0</v>
      </c>
      <c r="AZ107" s="9">
        <f t="shared" si="104"/>
        <v>0</v>
      </c>
      <c r="BA107" s="9">
        <f t="shared" si="104"/>
        <v>0</v>
      </c>
      <c r="BB107" s="9">
        <f t="shared" si="104"/>
        <v>0</v>
      </c>
      <c r="BC107" s="9">
        <f t="shared" si="104"/>
        <v>0</v>
      </c>
      <c r="BD107" s="9">
        <f t="shared" si="104"/>
        <v>0</v>
      </c>
      <c r="BE107" s="9">
        <f t="shared" si="104"/>
        <v>0</v>
      </c>
      <c r="BF107" s="9">
        <f t="shared" si="104"/>
        <v>-3518.8316770606598</v>
      </c>
      <c r="BG107" s="9">
        <f t="shared" si="104"/>
        <v>-1098.8012645961901</v>
      </c>
      <c r="BH107" s="9">
        <f t="shared" si="104"/>
        <v>-1329.8072928322499</v>
      </c>
      <c r="BI107" s="9">
        <f t="shared" si="104"/>
        <v>-542.04981170882297</v>
      </c>
      <c r="BJ107" s="9">
        <f t="shared" si="104"/>
        <v>-564.32135021674901</v>
      </c>
      <c r="BK107" s="9">
        <f t="shared" si="104"/>
        <v>-793.866489592324</v>
      </c>
      <c r="BL107" s="9">
        <f t="shared" si="104"/>
        <v>-561.43873025173195</v>
      </c>
      <c r="BM107" s="9">
        <f t="shared" si="104"/>
        <v>-554.86886109149805</v>
      </c>
      <c r="BN107" s="9">
        <f t="shared" si="104"/>
        <v>-539.46315639027705</v>
      </c>
      <c r="BO107" s="9">
        <f t="shared" si="104"/>
        <v>-542.19489927108805</v>
      </c>
      <c r="BP107" s="9">
        <f t="shared" si="104"/>
        <v>-541.72913258958999</v>
      </c>
      <c r="BQ107" s="9">
        <f t="shared" si="104"/>
        <v>-598.03818541508394</v>
      </c>
      <c r="BR107" s="9">
        <f t="shared" si="104"/>
        <v>-604.52229411188</v>
      </c>
      <c r="BS107" s="9">
        <f t="shared" si="104"/>
        <v>-589.11739067762005</v>
      </c>
      <c r="BT107" s="9">
        <f t="shared" si="104"/>
        <v>0</v>
      </c>
      <c r="BU107" s="9">
        <f t="shared" si="104"/>
        <v>0</v>
      </c>
      <c r="BV107" s="9">
        <f t="shared" si="104"/>
        <v>0</v>
      </c>
      <c r="BW107" s="9">
        <f t="shared" si="104"/>
        <v>0</v>
      </c>
      <c r="BX107" s="9">
        <f t="shared" si="104"/>
        <v>0</v>
      </c>
      <c r="BY107" s="9">
        <f t="shared" si="104"/>
        <v>0</v>
      </c>
    </row>
    <row r="108" spans="1:77" x14ac:dyDescent="0.2">
      <c r="A108" s="12"/>
      <c r="B108" s="4" t="s">
        <v>130</v>
      </c>
      <c r="C108" s="7">
        <v>0</v>
      </c>
      <c r="D108" s="7">
        <v>926.70728150983302</v>
      </c>
      <c r="E108" s="7">
        <v>147.19362854648301</v>
      </c>
      <c r="F108" s="7">
        <v>1721.6516757381</v>
      </c>
      <c r="G108" s="7">
        <v>1699.69270180696</v>
      </c>
      <c r="H108" s="7">
        <v>1635.3179436314299</v>
      </c>
      <c r="I108" s="7">
        <v>1673.0511341884301</v>
      </c>
      <c r="J108" s="7">
        <v>3348.05343559009</v>
      </c>
      <c r="K108" s="7">
        <v>3438.6001852028699</v>
      </c>
      <c r="L108" s="7">
        <v>8.4809862579742195</v>
      </c>
      <c r="M108" s="7">
        <v>0</v>
      </c>
      <c r="N108" s="7">
        <v>1778.07836023748</v>
      </c>
      <c r="O108" s="7">
        <v>1744.9673424595401</v>
      </c>
      <c r="P108" s="7">
        <v>1805.7017348079601</v>
      </c>
      <c r="Q108" s="7">
        <v>1838.9246917686901</v>
      </c>
      <c r="R108" s="7">
        <v>1874.17960352825</v>
      </c>
      <c r="S108" s="7">
        <v>2293.4008780725399</v>
      </c>
      <c r="T108" s="7">
        <v>1952.6469668172099</v>
      </c>
      <c r="U108" s="7">
        <v>2292.5871683811301</v>
      </c>
      <c r="V108" s="7">
        <v>2375.7837455694398</v>
      </c>
      <c r="W108" s="7">
        <v>2444.45829174653</v>
      </c>
      <c r="X108" s="7">
        <v>3941.7893081358502</v>
      </c>
      <c r="Y108" s="7">
        <v>4450.5661707444897</v>
      </c>
      <c r="Z108" s="7">
        <v>3466.11017761426</v>
      </c>
      <c r="AA108" s="7">
        <v>4556.8010929617603</v>
      </c>
      <c r="AB108" s="7">
        <v>4539.6424777147804</v>
      </c>
      <c r="AC108" s="7">
        <v>4702.0059204667896</v>
      </c>
      <c r="AD108" s="7">
        <v>4112.8239753277903</v>
      </c>
      <c r="AE108" s="7">
        <v>4003.66199132364</v>
      </c>
      <c r="AF108" s="7">
        <v>6006.4374660370304</v>
      </c>
      <c r="AG108" s="7">
        <v>4678.5440229900496</v>
      </c>
      <c r="AH108" s="7">
        <v>5446.0092652684898</v>
      </c>
      <c r="AI108" s="7">
        <v>4908.3682135932404</v>
      </c>
      <c r="AJ108" s="7">
        <v>5666.0479144643496</v>
      </c>
      <c r="AK108" s="7">
        <v>5561.4160982609701</v>
      </c>
      <c r="AL108" s="7">
        <v>5416.3032950593697</v>
      </c>
      <c r="AM108" s="7">
        <v>5395.3905604359197</v>
      </c>
      <c r="AO108" s="9">
        <f t="shared" ref="AO108:BY108" si="105">+C108-C19</f>
        <v>0</v>
      </c>
      <c r="AP108" s="9">
        <f t="shared" si="105"/>
        <v>89.187697960187052</v>
      </c>
      <c r="AQ108" s="9">
        <f t="shared" si="105"/>
        <v>78.211102266169519</v>
      </c>
      <c r="AR108" s="9">
        <f t="shared" si="105"/>
        <v>1666.2635204020646</v>
      </c>
      <c r="AS108" s="9">
        <f t="shared" si="105"/>
        <v>1699.69270180696</v>
      </c>
      <c r="AT108" s="9">
        <f t="shared" si="105"/>
        <v>1603.5949430392243</v>
      </c>
      <c r="AU108" s="9">
        <f t="shared" si="105"/>
        <v>1571.5612908641551</v>
      </c>
      <c r="AV108" s="9">
        <f t="shared" si="105"/>
        <v>3011.2642649828458</v>
      </c>
      <c r="AW108" s="9">
        <f t="shared" si="105"/>
        <v>3085.5170622340188</v>
      </c>
      <c r="AX108" s="9">
        <f t="shared" si="105"/>
        <v>-322.26679321459875</v>
      </c>
      <c r="AY108" s="9">
        <f t="shared" si="105"/>
        <v>-423.94963610170998</v>
      </c>
      <c r="AZ108" s="9">
        <f t="shared" si="105"/>
        <v>1726.360556504879</v>
      </c>
      <c r="BA108" s="9">
        <f t="shared" si="105"/>
        <v>1689.3331732051586</v>
      </c>
      <c r="BB108" s="9">
        <f t="shared" si="105"/>
        <v>1772.0383945503877</v>
      </c>
      <c r="BC108" s="9">
        <f t="shared" si="105"/>
        <v>1838.9246917686901</v>
      </c>
      <c r="BD108" s="9">
        <f t="shared" si="105"/>
        <v>1874.17960352825</v>
      </c>
      <c r="BE108" s="9">
        <f t="shared" si="105"/>
        <v>2293.4008780725399</v>
      </c>
      <c r="BF108" s="9">
        <f t="shared" si="105"/>
        <v>1952.6469668172099</v>
      </c>
      <c r="BG108" s="9">
        <f t="shared" si="105"/>
        <v>2117.691849393439</v>
      </c>
      <c r="BH108" s="9">
        <f t="shared" si="105"/>
        <v>2115.026200550953</v>
      </c>
      <c r="BI108" s="9">
        <f t="shared" si="105"/>
        <v>2222.2668990174229</v>
      </c>
      <c r="BJ108" s="9">
        <f t="shared" si="105"/>
        <v>3395.1760026303691</v>
      </c>
      <c r="BK108" s="9">
        <f t="shared" si="105"/>
        <v>3033.4431674221996</v>
      </c>
      <c r="BL108" s="9">
        <f t="shared" si="105"/>
        <v>3184.1900936206698</v>
      </c>
      <c r="BM108" s="9">
        <f t="shared" si="105"/>
        <v>3522.0689426164004</v>
      </c>
      <c r="BN108" s="9">
        <f t="shared" si="105"/>
        <v>4313.7016005635642</v>
      </c>
      <c r="BO108" s="9">
        <f t="shared" si="105"/>
        <v>4170.667121796916</v>
      </c>
      <c r="BP108" s="9">
        <f t="shared" si="105"/>
        <v>3899.5180270231972</v>
      </c>
      <c r="BQ108" s="9">
        <f t="shared" si="105"/>
        <v>3791.1418138193098</v>
      </c>
      <c r="BR108" s="9">
        <f t="shared" si="105"/>
        <v>4113.9510678371107</v>
      </c>
      <c r="BS108" s="9">
        <f t="shared" si="105"/>
        <v>4475.4721800543275</v>
      </c>
      <c r="BT108" s="9">
        <f t="shared" si="105"/>
        <v>4778.7230694614127</v>
      </c>
      <c r="BU108" s="9">
        <f t="shared" si="105"/>
        <v>4491.1426017225294</v>
      </c>
      <c r="BV108" s="9">
        <f t="shared" si="105"/>
        <v>5195.0953960201832</v>
      </c>
      <c r="BW108" s="9">
        <f t="shared" si="105"/>
        <v>5104.3037028953077</v>
      </c>
      <c r="BX108" s="9">
        <f t="shared" si="105"/>
        <v>5229.2514576808326</v>
      </c>
      <c r="BY108" s="9">
        <f t="shared" si="105"/>
        <v>4948.7142749552604</v>
      </c>
    </row>
    <row r="109" spans="1:77" x14ac:dyDescent="0.2">
      <c r="A109" s="12"/>
      <c r="B109" s="4" t="s">
        <v>124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O109" s="9">
        <f t="shared" ref="AO109:BY109" si="106">+C109-C20</f>
        <v>0</v>
      </c>
      <c r="AP109" s="9">
        <f t="shared" si="106"/>
        <v>0</v>
      </c>
      <c r="AQ109" s="9">
        <f t="shared" si="106"/>
        <v>0</v>
      </c>
      <c r="AR109" s="9">
        <f t="shared" si="106"/>
        <v>0</v>
      </c>
      <c r="AS109" s="9">
        <f t="shared" si="106"/>
        <v>0</v>
      </c>
      <c r="AT109" s="9">
        <f t="shared" si="106"/>
        <v>0</v>
      </c>
      <c r="AU109" s="9">
        <f t="shared" si="106"/>
        <v>0</v>
      </c>
      <c r="AV109" s="9">
        <f t="shared" si="106"/>
        <v>0</v>
      </c>
      <c r="AW109" s="9">
        <f t="shared" si="106"/>
        <v>0</v>
      </c>
      <c r="AX109" s="9">
        <f t="shared" si="106"/>
        <v>0</v>
      </c>
      <c r="AY109" s="9">
        <f t="shared" si="106"/>
        <v>0</v>
      </c>
      <c r="AZ109" s="9">
        <f t="shared" si="106"/>
        <v>0</v>
      </c>
      <c r="BA109" s="9">
        <f t="shared" si="106"/>
        <v>0</v>
      </c>
      <c r="BB109" s="9">
        <f t="shared" si="106"/>
        <v>0</v>
      </c>
      <c r="BC109" s="9">
        <f t="shared" si="106"/>
        <v>0</v>
      </c>
      <c r="BD109" s="9">
        <f t="shared" si="106"/>
        <v>0</v>
      </c>
      <c r="BE109" s="9">
        <f t="shared" si="106"/>
        <v>0</v>
      </c>
      <c r="BF109" s="9">
        <f t="shared" si="106"/>
        <v>0</v>
      </c>
      <c r="BG109" s="9">
        <f t="shared" si="106"/>
        <v>0</v>
      </c>
      <c r="BH109" s="9">
        <f t="shared" si="106"/>
        <v>0</v>
      </c>
      <c r="BI109" s="9">
        <f t="shared" si="106"/>
        <v>0</v>
      </c>
      <c r="BJ109" s="9">
        <f t="shared" si="106"/>
        <v>0</v>
      </c>
      <c r="BK109" s="9">
        <f t="shared" si="106"/>
        <v>0</v>
      </c>
      <c r="BL109" s="9">
        <f t="shared" si="106"/>
        <v>0</v>
      </c>
      <c r="BM109" s="9">
        <f t="shared" si="106"/>
        <v>0</v>
      </c>
      <c r="BN109" s="9">
        <f t="shared" si="106"/>
        <v>0</v>
      </c>
      <c r="BO109" s="9">
        <f t="shared" si="106"/>
        <v>0</v>
      </c>
      <c r="BP109" s="9">
        <f t="shared" si="106"/>
        <v>0</v>
      </c>
      <c r="BQ109" s="9">
        <f t="shared" si="106"/>
        <v>0</v>
      </c>
      <c r="BR109" s="9">
        <f t="shared" si="106"/>
        <v>0</v>
      </c>
      <c r="BS109" s="9">
        <f t="shared" si="106"/>
        <v>0</v>
      </c>
      <c r="BT109" s="9">
        <f t="shared" si="106"/>
        <v>0</v>
      </c>
      <c r="BU109" s="9">
        <f t="shared" si="106"/>
        <v>0</v>
      </c>
      <c r="BV109" s="9">
        <f t="shared" si="106"/>
        <v>0</v>
      </c>
      <c r="BW109" s="9">
        <f t="shared" si="106"/>
        <v>0</v>
      </c>
      <c r="BX109" s="9">
        <f t="shared" si="106"/>
        <v>0</v>
      </c>
      <c r="BY109" s="9">
        <f t="shared" si="106"/>
        <v>0</v>
      </c>
    </row>
    <row r="110" spans="1:77" x14ac:dyDescent="0.2">
      <c r="A110" s="12"/>
      <c r="B110" s="4" t="s">
        <v>132</v>
      </c>
      <c r="C110" s="7">
        <v>0</v>
      </c>
      <c r="D110" s="7">
        <v>1130.74590216664</v>
      </c>
      <c r="E110" s="7">
        <v>131.37216683514399</v>
      </c>
      <c r="F110" s="7">
        <v>2245.38443713165</v>
      </c>
      <c r="G110" s="7">
        <v>382.61086664187798</v>
      </c>
      <c r="H110" s="7">
        <v>1512.4043859564599</v>
      </c>
      <c r="I110" s="7">
        <v>903.27901454845403</v>
      </c>
      <c r="J110" s="7">
        <v>0</v>
      </c>
      <c r="K110" s="7">
        <v>0</v>
      </c>
      <c r="L110" s="7">
        <v>2020.20293836424</v>
      </c>
      <c r="M110" s="7">
        <v>2238.5629935193601</v>
      </c>
      <c r="N110" s="7">
        <v>1117.9655378724799</v>
      </c>
      <c r="O110" s="7">
        <v>3321.3048166773701</v>
      </c>
      <c r="P110" s="7">
        <v>1366.0041510677599</v>
      </c>
      <c r="Q110" s="7">
        <v>1499.71746936761</v>
      </c>
      <c r="R110" s="7">
        <v>2111.6789269795599</v>
      </c>
      <c r="S110" s="7">
        <v>1974.6478692491901</v>
      </c>
      <c r="T110" s="7">
        <v>7255.23923596853</v>
      </c>
      <c r="U110" s="7">
        <v>1848.21940188338</v>
      </c>
      <c r="V110" s="7">
        <v>1239.83994981256</v>
      </c>
      <c r="W110" s="7">
        <v>108.66624930612799</v>
      </c>
      <c r="X110" s="7">
        <v>2052.3871074193298</v>
      </c>
      <c r="Y110" s="7">
        <v>3883.3725992510699</v>
      </c>
      <c r="Z110" s="7">
        <v>2350.8222457383799</v>
      </c>
      <c r="AA110" s="7">
        <v>783.87502136244495</v>
      </c>
      <c r="AB110" s="7">
        <v>3337.1215797602599</v>
      </c>
      <c r="AC110" s="7">
        <v>1156.68071141682</v>
      </c>
      <c r="AD110" s="7">
        <v>2387.35130689178</v>
      </c>
      <c r="AE110" s="7">
        <v>2030.4619511441799</v>
      </c>
      <c r="AF110" s="7">
        <v>5693.4993038922803</v>
      </c>
      <c r="AG110" s="7">
        <v>10635.092483492301</v>
      </c>
      <c r="AH110" s="7">
        <v>206.28984688736699</v>
      </c>
      <c r="AI110" s="7">
        <v>2240.28746371749</v>
      </c>
      <c r="AJ110" s="7">
        <v>307.34651690701702</v>
      </c>
      <c r="AK110" s="7">
        <v>440.22215979406798</v>
      </c>
      <c r="AL110" s="7">
        <v>1270.6360008644201</v>
      </c>
      <c r="AM110" s="7">
        <v>740.57072575784798</v>
      </c>
      <c r="AO110" s="9">
        <f t="shared" ref="AO110:BY110" si="107">+C110-C21</f>
        <v>0</v>
      </c>
      <c r="AP110" s="9">
        <f t="shared" si="107"/>
        <v>48.792001736100019</v>
      </c>
      <c r="AQ110" s="9">
        <f t="shared" si="107"/>
        <v>24.196890860608988</v>
      </c>
      <c r="AR110" s="9">
        <f t="shared" si="107"/>
        <v>1296.1550023882201</v>
      </c>
      <c r="AS110" s="9">
        <f t="shared" si="107"/>
        <v>382.61086664187798</v>
      </c>
      <c r="AT110" s="9">
        <f t="shared" si="107"/>
        <v>840.82725707096688</v>
      </c>
      <c r="AU110" s="9">
        <f t="shared" si="107"/>
        <v>853.06707242519781</v>
      </c>
      <c r="AV110" s="9">
        <f t="shared" si="107"/>
        <v>0</v>
      </c>
      <c r="AW110" s="9">
        <f t="shared" si="107"/>
        <v>0</v>
      </c>
      <c r="AX110" s="9">
        <f t="shared" si="107"/>
        <v>2020.20293836424</v>
      </c>
      <c r="AY110" s="9">
        <f t="shared" si="107"/>
        <v>2206.1174013251957</v>
      </c>
      <c r="AZ110" s="9">
        <f t="shared" si="107"/>
        <v>911.85597034415287</v>
      </c>
      <c r="BA110" s="9">
        <f t="shared" si="107"/>
        <v>1214.21506827349</v>
      </c>
      <c r="BB110" s="9">
        <f t="shared" si="107"/>
        <v>1212.207502214437</v>
      </c>
      <c r="BC110" s="9">
        <f t="shared" si="107"/>
        <v>1314.1287336571779</v>
      </c>
      <c r="BD110" s="9">
        <f t="shared" si="107"/>
        <v>1823.441980583545</v>
      </c>
      <c r="BE110" s="9">
        <f t="shared" si="107"/>
        <v>1731.4896330408951</v>
      </c>
      <c r="BF110" s="9">
        <f t="shared" si="107"/>
        <v>6240.9599371742897</v>
      </c>
      <c r="BG110" s="9">
        <f t="shared" si="107"/>
        <v>1848.21940188338</v>
      </c>
      <c r="BH110" s="9">
        <f t="shared" si="107"/>
        <v>881.03104592134196</v>
      </c>
      <c r="BI110" s="9">
        <f t="shared" si="107"/>
        <v>-84.56924569108601</v>
      </c>
      <c r="BJ110" s="9">
        <f t="shared" si="107"/>
        <v>855.65874083841982</v>
      </c>
      <c r="BK110" s="9">
        <f t="shared" si="107"/>
        <v>3286.1383300663547</v>
      </c>
      <c r="BL110" s="9">
        <f t="shared" si="107"/>
        <v>1285.7494391913799</v>
      </c>
      <c r="BM110" s="9">
        <f t="shared" si="107"/>
        <v>589.81999971791993</v>
      </c>
      <c r="BN110" s="9">
        <f t="shared" si="107"/>
        <v>2508.181466104299</v>
      </c>
      <c r="BO110" s="9">
        <f t="shared" si="107"/>
        <v>900.44521411105711</v>
      </c>
      <c r="BP110" s="9">
        <f t="shared" si="107"/>
        <v>2169.5153209310643</v>
      </c>
      <c r="BQ110" s="9">
        <f t="shared" si="107"/>
        <v>1775.821683336834</v>
      </c>
      <c r="BR110" s="9">
        <f t="shared" si="107"/>
        <v>5445.2078640386208</v>
      </c>
      <c r="BS110" s="9">
        <f t="shared" si="107"/>
        <v>10377.792213849898</v>
      </c>
      <c r="BT110" s="9">
        <f t="shared" si="107"/>
        <v>-261.55359608899698</v>
      </c>
      <c r="BU110" s="9">
        <f t="shared" si="107"/>
        <v>-122.8754077602598</v>
      </c>
      <c r="BV110" s="9">
        <f t="shared" si="107"/>
        <v>-210.07905643682597</v>
      </c>
      <c r="BW110" s="9">
        <f t="shared" si="107"/>
        <v>-105.25616750530099</v>
      </c>
      <c r="BX110" s="9">
        <f t="shared" si="107"/>
        <v>785.43053608048911</v>
      </c>
      <c r="BY110" s="9">
        <f t="shared" si="107"/>
        <v>200.241971651825</v>
      </c>
    </row>
    <row r="111" spans="1:77" x14ac:dyDescent="0.2">
      <c r="A111" s="12"/>
      <c r="B111" s="4" t="s">
        <v>129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O111" s="9">
        <f t="shared" ref="AO111:BY111" si="108">+C111-C22</f>
        <v>0</v>
      </c>
      <c r="AP111" s="9">
        <f t="shared" si="108"/>
        <v>0</v>
      </c>
      <c r="AQ111" s="9">
        <f t="shared" si="108"/>
        <v>0</v>
      </c>
      <c r="AR111" s="9">
        <f t="shared" si="108"/>
        <v>0</v>
      </c>
      <c r="AS111" s="9">
        <f t="shared" si="108"/>
        <v>0</v>
      </c>
      <c r="AT111" s="9">
        <f t="shared" si="108"/>
        <v>0</v>
      </c>
      <c r="AU111" s="9">
        <f t="shared" si="108"/>
        <v>0</v>
      </c>
      <c r="AV111" s="9">
        <f t="shared" si="108"/>
        <v>0</v>
      </c>
      <c r="AW111" s="9">
        <f t="shared" si="108"/>
        <v>0</v>
      </c>
      <c r="AX111" s="9">
        <f t="shared" si="108"/>
        <v>0</v>
      </c>
      <c r="AY111" s="9">
        <f t="shared" si="108"/>
        <v>0</v>
      </c>
      <c r="AZ111" s="9">
        <f t="shared" si="108"/>
        <v>0</v>
      </c>
      <c r="BA111" s="9">
        <f t="shared" si="108"/>
        <v>0</v>
      </c>
      <c r="BB111" s="9">
        <f t="shared" si="108"/>
        <v>0</v>
      </c>
      <c r="BC111" s="9">
        <f t="shared" si="108"/>
        <v>0</v>
      </c>
      <c r="BD111" s="9">
        <f t="shared" si="108"/>
        <v>-198.04674249299401</v>
      </c>
      <c r="BE111" s="9">
        <f t="shared" si="108"/>
        <v>-242.629740761238</v>
      </c>
      <c r="BF111" s="9">
        <f t="shared" si="108"/>
        <v>-2365.9837166284901</v>
      </c>
      <c r="BG111" s="9">
        <f t="shared" si="108"/>
        <v>-3311.1516499116801</v>
      </c>
      <c r="BH111" s="9">
        <f t="shared" si="108"/>
        <v>-131.24915112339599</v>
      </c>
      <c r="BI111" s="9">
        <f t="shared" si="108"/>
        <v>-134.08237857424999</v>
      </c>
      <c r="BJ111" s="9">
        <f t="shared" si="108"/>
        <v>-386.72327552735601</v>
      </c>
      <c r="BK111" s="9">
        <f t="shared" si="108"/>
        <v>-923.40293423569995</v>
      </c>
      <c r="BL111" s="9">
        <f t="shared" si="108"/>
        <v>-853.48863766387501</v>
      </c>
      <c r="BM111" s="9">
        <f t="shared" si="108"/>
        <v>-1493.4270567098999</v>
      </c>
      <c r="BN111" s="9">
        <f t="shared" si="108"/>
        <v>-150.52618129882401</v>
      </c>
      <c r="BO111" s="9">
        <f t="shared" si="108"/>
        <v>-1348.1502618882901</v>
      </c>
      <c r="BP111" s="9">
        <f t="shared" si="108"/>
        <v>-156.696430164411</v>
      </c>
      <c r="BQ111" s="9">
        <f t="shared" si="108"/>
        <v>-145.77936108936501</v>
      </c>
      <c r="BR111" s="9">
        <f t="shared" si="108"/>
        <v>-934.54085224155006</v>
      </c>
      <c r="BS111" s="9">
        <f t="shared" si="108"/>
        <v>-156.71807527764301</v>
      </c>
      <c r="BT111" s="9">
        <f t="shared" si="108"/>
        <v>-161.87713110754299</v>
      </c>
      <c r="BU111" s="9">
        <f t="shared" si="108"/>
        <v>-901.18967026800601</v>
      </c>
      <c r="BV111" s="9">
        <f t="shared" si="108"/>
        <v>-171.51685652470201</v>
      </c>
      <c r="BW111" s="9">
        <f t="shared" si="108"/>
        <v>-231.023726286618</v>
      </c>
      <c r="BX111" s="9">
        <f t="shared" si="108"/>
        <v>-364.61099038725501</v>
      </c>
      <c r="BY111" s="9">
        <f t="shared" si="108"/>
        <v>-366.76568906766499</v>
      </c>
    </row>
    <row r="112" spans="1:77" x14ac:dyDescent="0.2">
      <c r="A112" s="12"/>
      <c r="B112" s="4" t="s">
        <v>123</v>
      </c>
      <c r="C112" s="7">
        <v>2117.8583628678298</v>
      </c>
      <c r="D112" s="7">
        <v>0</v>
      </c>
      <c r="E112" s="7">
        <v>2774.0402116535001</v>
      </c>
      <c r="F112" s="7">
        <v>0</v>
      </c>
      <c r="G112" s="7">
        <v>0</v>
      </c>
      <c r="H112" s="7">
        <v>1543.76655291667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11287.198914746599</v>
      </c>
      <c r="U112" s="7">
        <v>681.99833678290202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O112" s="9">
        <f t="shared" ref="AO112:BY112" si="109">+C112-C23</f>
        <v>149.72288956138982</v>
      </c>
      <c r="AP112" s="9">
        <f t="shared" si="109"/>
        <v>0</v>
      </c>
      <c r="AQ112" s="9">
        <f t="shared" si="109"/>
        <v>263.34390348826992</v>
      </c>
      <c r="AR112" s="9">
        <f t="shared" si="109"/>
        <v>-273.78163329244001</v>
      </c>
      <c r="AS112" s="9">
        <f t="shared" si="109"/>
        <v>-904.54442029199799</v>
      </c>
      <c r="AT112" s="9">
        <f t="shared" si="109"/>
        <v>-393.97398597549</v>
      </c>
      <c r="AU112" s="9">
        <f t="shared" si="109"/>
        <v>-1392.0573124149601</v>
      </c>
      <c r="AV112" s="9">
        <f t="shared" si="109"/>
        <v>-422.21833755960103</v>
      </c>
      <c r="AW112" s="9">
        <f t="shared" si="109"/>
        <v>-444.991340923471</v>
      </c>
      <c r="AX112" s="9">
        <f t="shared" si="109"/>
        <v>-1163.2566578332001</v>
      </c>
      <c r="AY112" s="9">
        <f t="shared" si="109"/>
        <v>-2110.87830005767</v>
      </c>
      <c r="AZ112" s="9">
        <f t="shared" si="109"/>
        <v>-545.20256873383403</v>
      </c>
      <c r="BA112" s="9">
        <f t="shared" si="109"/>
        <v>-1450.6045580750399</v>
      </c>
      <c r="BB112" s="9">
        <f t="shared" si="109"/>
        <v>-678.79872901209797</v>
      </c>
      <c r="BC112" s="9">
        <f t="shared" si="109"/>
        <v>-768.35742827922104</v>
      </c>
      <c r="BD112" s="9">
        <f t="shared" si="109"/>
        <v>-743.80759202962895</v>
      </c>
      <c r="BE112" s="9">
        <f t="shared" si="109"/>
        <v>-1321.31691785352</v>
      </c>
      <c r="BF112" s="9">
        <f t="shared" si="109"/>
        <v>-3510.8228417157006</v>
      </c>
      <c r="BG112" s="9">
        <f t="shared" si="109"/>
        <v>-259.72162245769596</v>
      </c>
      <c r="BH112" s="9">
        <f t="shared" si="109"/>
        <v>-1419.2378549530499</v>
      </c>
      <c r="BI112" s="9">
        <f t="shared" si="109"/>
        <v>-905.29872950505796</v>
      </c>
      <c r="BJ112" s="9">
        <f t="shared" si="109"/>
        <v>-927.80659235031203</v>
      </c>
      <c r="BK112" s="9">
        <f t="shared" si="109"/>
        <v>-3805.84728335209</v>
      </c>
      <c r="BL112" s="9">
        <f t="shared" si="109"/>
        <v>-978.11511002900295</v>
      </c>
      <c r="BM112" s="9">
        <f t="shared" si="109"/>
        <v>-1003.12462305124</v>
      </c>
      <c r="BN112" s="9">
        <f t="shared" si="109"/>
        <v>-3001.5235509286899</v>
      </c>
      <c r="BO112" s="9">
        <f t="shared" si="109"/>
        <v>-1071.0294654655199</v>
      </c>
      <c r="BP112" s="9">
        <f t="shared" si="109"/>
        <v>-3623.5430818869199</v>
      </c>
      <c r="BQ112" s="9">
        <f t="shared" si="109"/>
        <v>-1497.6026157213901</v>
      </c>
      <c r="BR112" s="9">
        <f t="shared" si="109"/>
        <v>-2141.9450051787298</v>
      </c>
      <c r="BS112" s="9">
        <f t="shared" si="109"/>
        <v>-3175.8070876429401</v>
      </c>
      <c r="BT112" s="9">
        <f t="shared" si="109"/>
        <v>-2609.6136387660899</v>
      </c>
      <c r="BU112" s="9">
        <f t="shared" si="109"/>
        <v>-1655.1121680813501</v>
      </c>
      <c r="BV112" s="9">
        <f t="shared" si="109"/>
        <v>-1681.6372149434201</v>
      </c>
      <c r="BW112" s="9">
        <f t="shared" si="109"/>
        <v>-2410.1962237074699</v>
      </c>
      <c r="BX112" s="9">
        <f t="shared" si="109"/>
        <v>-3341.81014634948</v>
      </c>
      <c r="BY112" s="9">
        <f t="shared" si="109"/>
        <v>-1806.8418202958201</v>
      </c>
    </row>
    <row r="113" spans="1:77" x14ac:dyDescent="0.2">
      <c r="A113" s="6"/>
      <c r="B113" s="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O113" s="14">
        <f>+(SUM(AO93:AO112)*1000000)/1000000000</f>
        <v>0.15029077415770734</v>
      </c>
      <c r="AP113" s="14">
        <f t="shared" ref="AP113" si="110">+(SUM(AP93:AP112)*1000000)/1000000000</f>
        <v>0.13856023476335541</v>
      </c>
      <c r="AQ113" s="14">
        <f t="shared" ref="AQ113" si="111">+(SUM(AQ93:AQ112)*1000000)/1000000000</f>
        <v>0.48763826126191817</v>
      </c>
      <c r="AR113" s="14">
        <f t="shared" ref="AR113" si="112">+(SUM(AR93:AR112)*1000000)/1000000000</f>
        <v>2.3394855856411749</v>
      </c>
      <c r="AS113" s="14">
        <f t="shared" ref="AS113" si="113">+(SUM(AS93:AS112)*1000000)/1000000000</f>
        <v>1.4456031169701926</v>
      </c>
      <c r="AT113" s="14">
        <f t="shared" ref="AT113" si="114">+(SUM(AT93:AT112)*1000000)/1000000000</f>
        <v>2.0028109866752675</v>
      </c>
      <c r="AU113" s="14">
        <f t="shared" ref="AU113" si="115">+(SUM(AU93:AU112)*1000000)/1000000000</f>
        <v>1.0329248847971602</v>
      </c>
      <c r="AV113" s="14">
        <f t="shared" ref="AV113" si="116">+(SUM(AV93:AV112)*1000000)/1000000000</f>
        <v>2.5911693601919241</v>
      </c>
      <c r="AW113" s="14">
        <f t="shared" ref="AW113" si="117">+(SUM(AW93:AW112)*1000000)/1000000000</f>
        <v>2.5854379451960727</v>
      </c>
      <c r="AX113" s="14">
        <f t="shared" ref="AX113" si="118">+(SUM(AX93:AX112)*1000000)/1000000000</f>
        <v>0.54112704659043565</v>
      </c>
      <c r="AY113" s="14">
        <f t="shared" ref="AY113" si="119">+(SUM(AY93:AY112)*1000000)/1000000000</f>
        <v>-0.32034227273857457</v>
      </c>
      <c r="AZ113" s="14">
        <f t="shared" ref="AZ113" si="120">+(SUM(AZ93:AZ112)*1000000)/1000000000</f>
        <v>2.1035091098682801</v>
      </c>
      <c r="BA113" s="14">
        <f t="shared" ref="BA113" si="121">+(SUM(BA93:BA112)*1000000)/1000000000</f>
        <v>1.4653935338026511</v>
      </c>
      <c r="BB113" s="14">
        <f t="shared" ref="BB113" si="122">+(SUM(BB93:BB112)*1000000)/1000000000</f>
        <v>2.3200090182622244</v>
      </c>
      <c r="BC113" s="14">
        <f t="shared" ref="BC113" si="123">+(SUM(BC93:BC112)*1000000)/1000000000</f>
        <v>2.400946561509341</v>
      </c>
      <c r="BD113" s="14">
        <f t="shared" ref="BD113" si="124">+(SUM(BD93:BD112)*1000000)/1000000000</f>
        <v>2.7652268119531938</v>
      </c>
      <c r="BE113" s="14">
        <f t="shared" ref="BE113" si="125">+(SUM(BE93:BE112)*1000000)/1000000000</f>
        <v>2.4705851906975669</v>
      </c>
      <c r="BF113" s="14">
        <f t="shared" ref="BF113" si="126">+(SUM(BF93:BF112)*1000000)/1000000000</f>
        <v>-4.6713179964880034</v>
      </c>
      <c r="BG113" s="14">
        <f t="shared" ref="BG113" si="127">+(SUM(BG93:BG112)*1000000)/1000000000</f>
        <v>-1.0426306775966696</v>
      </c>
      <c r="BH113" s="14">
        <f t="shared" ref="BH113" si="128">+(SUM(BH93:BH112)*1000000)/1000000000</f>
        <v>-0.1527414482256895</v>
      </c>
      <c r="BI113" s="14">
        <f t="shared" ref="BI113" si="129">+(SUM(BI93:BI112)*1000000)/1000000000</f>
        <v>0.17987999764539608</v>
      </c>
      <c r="BJ113" s="14">
        <f t="shared" ref="BJ113" si="130">+(SUM(BJ93:BJ112)*1000000)/1000000000</f>
        <v>-1.3732646588442126</v>
      </c>
      <c r="BK113" s="14">
        <f>+(SUM(BK93:BK112)*1000000)/1000000000</f>
        <v>1.8145096996813299</v>
      </c>
      <c r="BL113" s="14">
        <f t="shared" ref="BL113" si="131">+(SUM(BL93:BL112)*1000000)/1000000000</f>
        <v>1.7031900400696753</v>
      </c>
      <c r="BM113" s="14">
        <f t="shared" ref="BM113" si="132">+(SUM(BM93:BM112)*1000000)/1000000000</f>
        <v>1.4132372510731563</v>
      </c>
      <c r="BN113" s="14">
        <f t="shared" ref="BN113" si="133">+(SUM(BN93:BN112)*1000000)/1000000000</f>
        <v>2.8565252353657367</v>
      </c>
      <c r="BO113" s="14">
        <f t="shared" ref="BO113" si="134">+(SUM(BO93:BO112)*1000000)/1000000000</f>
        <v>1.8503847566241725</v>
      </c>
      <c r="BP113" s="14">
        <f t="shared" ref="BP113" si="135">+(SUM(BP93:BP112)*1000000)/1000000000</f>
        <v>1.4846878273792672</v>
      </c>
      <c r="BQ113" s="14">
        <f t="shared" ref="BQ113" si="136">+(SUM(BQ93:BQ112)*1000000)/1000000000</f>
        <v>3.0092579571963003</v>
      </c>
      <c r="BR113" s="14">
        <f t="shared" ref="BR113" si="137">+(SUM(BR93:BR112)*1000000)/1000000000</f>
        <v>5.5638689505135019</v>
      </c>
      <c r="BS113" s="14">
        <f t="shared" ref="BS113" si="138">+(SUM(BS93:BS112)*1000000)/1000000000</f>
        <v>10.519513257446752</v>
      </c>
      <c r="BT113" s="14">
        <f t="shared" ref="BT113" si="139">+(SUM(BT93:BT112)*1000000)/1000000000</f>
        <v>0.62212699549259376</v>
      </c>
      <c r="BU113" s="14">
        <f t="shared" ref="BU113" si="140">+(SUM(BU93:BU112)*1000000)/1000000000</f>
        <v>1.4047702129530524</v>
      </c>
      <c r="BV113" s="14">
        <f t="shared" ref="BV113" si="141">+(SUM(BV93:BV112)*1000000)/1000000000</f>
        <v>2.5313462491184704</v>
      </c>
      <c r="BW113" s="14">
        <f t="shared" ref="BW113" si="142">+(SUM(BW93:BW112)*1000000)/1000000000</f>
        <v>2.32890668938703</v>
      </c>
      <c r="BX113" s="14">
        <f t="shared" ref="BX113" si="143">+(SUM(BX93:BX112)*1000000)/1000000000</f>
        <v>0.3653135501766005</v>
      </c>
      <c r="BY113" s="14">
        <f t="shared" ref="BY113" si="144">+(SUM(BY93:BY112)*1000000)/1000000000</f>
        <v>3.0827253489045723</v>
      </c>
    </row>
    <row r="114" spans="1:77" x14ac:dyDescent="0.2">
      <c r="A114" s="12" t="s">
        <v>1</v>
      </c>
      <c r="B114" s="4" t="s">
        <v>133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O114" s="9">
        <f>+C114-C24</f>
        <v>0</v>
      </c>
      <c r="AP114" s="9">
        <f t="shared" ref="AP114:BY114" si="145">+D114-D24</f>
        <v>0</v>
      </c>
      <c r="AQ114" s="9">
        <f t="shared" si="145"/>
        <v>0</v>
      </c>
      <c r="AR114" s="9">
        <f t="shared" si="145"/>
        <v>0</v>
      </c>
      <c r="AS114" s="9">
        <f t="shared" si="145"/>
        <v>0</v>
      </c>
      <c r="AT114" s="9">
        <f t="shared" si="145"/>
        <v>0</v>
      </c>
      <c r="AU114" s="9">
        <f t="shared" si="145"/>
        <v>0</v>
      </c>
      <c r="AV114" s="9">
        <f t="shared" si="145"/>
        <v>0</v>
      </c>
      <c r="AW114" s="9">
        <f t="shared" si="145"/>
        <v>0</v>
      </c>
      <c r="AX114" s="9">
        <f t="shared" si="145"/>
        <v>0</v>
      </c>
      <c r="AY114" s="9">
        <f t="shared" si="145"/>
        <v>0</v>
      </c>
      <c r="AZ114" s="9">
        <f t="shared" si="145"/>
        <v>0</v>
      </c>
      <c r="BA114" s="9">
        <f t="shared" si="145"/>
        <v>0</v>
      </c>
      <c r="BB114" s="9">
        <f t="shared" si="145"/>
        <v>0</v>
      </c>
      <c r="BC114" s="9">
        <f t="shared" si="145"/>
        <v>0</v>
      </c>
      <c r="BD114" s="9">
        <f t="shared" si="145"/>
        <v>0</v>
      </c>
      <c r="BE114" s="9">
        <f t="shared" si="145"/>
        <v>0</v>
      </c>
      <c r="BF114" s="9">
        <f t="shared" si="145"/>
        <v>0</v>
      </c>
      <c r="BG114" s="9">
        <f t="shared" si="145"/>
        <v>0</v>
      </c>
      <c r="BH114" s="9">
        <f t="shared" si="145"/>
        <v>0</v>
      </c>
      <c r="BI114" s="9">
        <f t="shared" si="145"/>
        <v>0</v>
      </c>
      <c r="BJ114" s="9">
        <f t="shared" si="145"/>
        <v>0</v>
      </c>
      <c r="BK114" s="9">
        <f t="shared" si="145"/>
        <v>0</v>
      </c>
      <c r="BL114" s="9">
        <f t="shared" si="145"/>
        <v>0</v>
      </c>
      <c r="BM114" s="9">
        <f t="shared" si="145"/>
        <v>0</v>
      </c>
      <c r="BN114" s="9">
        <f t="shared" si="145"/>
        <v>0</v>
      </c>
      <c r="BO114" s="9">
        <f t="shared" si="145"/>
        <v>0</v>
      </c>
      <c r="BP114" s="9">
        <f t="shared" si="145"/>
        <v>0</v>
      </c>
      <c r="BQ114" s="9">
        <f t="shared" si="145"/>
        <v>0</v>
      </c>
      <c r="BR114" s="9">
        <f t="shared" si="145"/>
        <v>0</v>
      </c>
      <c r="BS114" s="9">
        <f t="shared" si="145"/>
        <v>0</v>
      </c>
      <c r="BT114" s="9">
        <f t="shared" si="145"/>
        <v>0</v>
      </c>
      <c r="BU114" s="9">
        <f t="shared" si="145"/>
        <v>0</v>
      </c>
      <c r="BV114" s="9">
        <f t="shared" si="145"/>
        <v>0</v>
      </c>
      <c r="BW114" s="9">
        <f t="shared" si="145"/>
        <v>0</v>
      </c>
      <c r="BX114" s="9">
        <f t="shared" si="145"/>
        <v>0</v>
      </c>
      <c r="BY114" s="9">
        <f t="shared" si="145"/>
        <v>0</v>
      </c>
    </row>
    <row r="115" spans="1:77" x14ac:dyDescent="0.2">
      <c r="A115" s="12"/>
      <c r="B115" s="4" t="s">
        <v>134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O115" s="9">
        <f t="shared" ref="AO115:BY115" si="146">+C115-C25</f>
        <v>0</v>
      </c>
      <c r="AP115" s="9">
        <f t="shared" si="146"/>
        <v>0</v>
      </c>
      <c r="AQ115" s="9">
        <f t="shared" si="146"/>
        <v>0</v>
      </c>
      <c r="AR115" s="9">
        <f t="shared" si="146"/>
        <v>0</v>
      </c>
      <c r="AS115" s="9">
        <f t="shared" si="146"/>
        <v>0</v>
      </c>
      <c r="AT115" s="9">
        <f t="shared" si="146"/>
        <v>0</v>
      </c>
      <c r="AU115" s="9">
        <f t="shared" si="146"/>
        <v>0</v>
      </c>
      <c r="AV115" s="9">
        <f t="shared" si="146"/>
        <v>0</v>
      </c>
      <c r="AW115" s="9">
        <f t="shared" si="146"/>
        <v>0</v>
      </c>
      <c r="AX115" s="9">
        <f t="shared" si="146"/>
        <v>0</v>
      </c>
      <c r="AY115" s="9">
        <f t="shared" si="146"/>
        <v>0</v>
      </c>
      <c r="AZ115" s="9">
        <f t="shared" si="146"/>
        <v>0</v>
      </c>
      <c r="BA115" s="9">
        <f t="shared" si="146"/>
        <v>0</v>
      </c>
      <c r="BB115" s="9">
        <f t="shared" si="146"/>
        <v>0</v>
      </c>
      <c r="BC115" s="9">
        <f t="shared" si="146"/>
        <v>0</v>
      </c>
      <c r="BD115" s="9">
        <f t="shared" si="146"/>
        <v>0</v>
      </c>
      <c r="BE115" s="9">
        <f t="shared" si="146"/>
        <v>0</v>
      </c>
      <c r="BF115" s="9">
        <f t="shared" si="146"/>
        <v>0</v>
      </c>
      <c r="BG115" s="9">
        <f t="shared" si="146"/>
        <v>0</v>
      </c>
      <c r="BH115" s="9">
        <f t="shared" si="146"/>
        <v>0</v>
      </c>
      <c r="BI115" s="9">
        <f t="shared" si="146"/>
        <v>0</v>
      </c>
      <c r="BJ115" s="9">
        <f t="shared" si="146"/>
        <v>0</v>
      </c>
      <c r="BK115" s="9">
        <f t="shared" si="146"/>
        <v>0</v>
      </c>
      <c r="BL115" s="9">
        <f t="shared" si="146"/>
        <v>0</v>
      </c>
      <c r="BM115" s="9">
        <f t="shared" si="146"/>
        <v>0</v>
      </c>
      <c r="BN115" s="9">
        <f t="shared" si="146"/>
        <v>0</v>
      </c>
      <c r="BO115" s="9">
        <f t="shared" si="146"/>
        <v>0</v>
      </c>
      <c r="BP115" s="9">
        <f t="shared" si="146"/>
        <v>0</v>
      </c>
      <c r="BQ115" s="9">
        <f t="shared" si="146"/>
        <v>0</v>
      </c>
      <c r="BR115" s="9">
        <f t="shared" si="146"/>
        <v>0</v>
      </c>
      <c r="BS115" s="9">
        <f t="shared" si="146"/>
        <v>0</v>
      </c>
      <c r="BT115" s="9">
        <f t="shared" si="146"/>
        <v>0</v>
      </c>
      <c r="BU115" s="9">
        <f t="shared" si="146"/>
        <v>0</v>
      </c>
      <c r="BV115" s="9">
        <f t="shared" si="146"/>
        <v>0</v>
      </c>
      <c r="BW115" s="9">
        <f t="shared" si="146"/>
        <v>0</v>
      </c>
      <c r="BX115" s="9">
        <f t="shared" si="146"/>
        <v>0</v>
      </c>
      <c r="BY115" s="9">
        <f t="shared" si="146"/>
        <v>0</v>
      </c>
    </row>
    <row r="116" spans="1:77" x14ac:dyDescent="0.2">
      <c r="A116" s="12"/>
      <c r="B116" s="4" t="s">
        <v>135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O116" s="9">
        <f t="shared" ref="AO116:BY116" si="147">+C116-C26</f>
        <v>0</v>
      </c>
      <c r="AP116" s="9">
        <f t="shared" si="147"/>
        <v>0</v>
      </c>
      <c r="AQ116" s="9">
        <f t="shared" si="147"/>
        <v>0</v>
      </c>
      <c r="AR116" s="9">
        <f t="shared" si="147"/>
        <v>0</v>
      </c>
      <c r="AS116" s="9">
        <f t="shared" si="147"/>
        <v>0</v>
      </c>
      <c r="AT116" s="9">
        <f t="shared" si="147"/>
        <v>0</v>
      </c>
      <c r="AU116" s="9">
        <f t="shared" si="147"/>
        <v>0</v>
      </c>
      <c r="AV116" s="9">
        <f t="shared" si="147"/>
        <v>0</v>
      </c>
      <c r="AW116" s="9">
        <f t="shared" si="147"/>
        <v>0</v>
      </c>
      <c r="AX116" s="9">
        <f t="shared" si="147"/>
        <v>0</v>
      </c>
      <c r="AY116" s="9">
        <f t="shared" si="147"/>
        <v>0</v>
      </c>
      <c r="AZ116" s="9">
        <f t="shared" si="147"/>
        <v>0</v>
      </c>
      <c r="BA116" s="9">
        <f t="shared" si="147"/>
        <v>0</v>
      </c>
      <c r="BB116" s="9">
        <f t="shared" si="147"/>
        <v>0</v>
      </c>
      <c r="BC116" s="9">
        <f t="shared" si="147"/>
        <v>0</v>
      </c>
      <c r="BD116" s="9">
        <f t="shared" si="147"/>
        <v>0</v>
      </c>
      <c r="BE116" s="9">
        <f t="shared" si="147"/>
        <v>0</v>
      </c>
      <c r="BF116" s="9">
        <f t="shared" si="147"/>
        <v>0</v>
      </c>
      <c r="BG116" s="9">
        <f t="shared" si="147"/>
        <v>0</v>
      </c>
      <c r="BH116" s="9">
        <f t="shared" si="147"/>
        <v>0</v>
      </c>
      <c r="BI116" s="9">
        <f t="shared" si="147"/>
        <v>0</v>
      </c>
      <c r="BJ116" s="9">
        <f t="shared" si="147"/>
        <v>0</v>
      </c>
      <c r="BK116" s="9">
        <f t="shared" si="147"/>
        <v>0</v>
      </c>
      <c r="BL116" s="9">
        <f t="shared" si="147"/>
        <v>0</v>
      </c>
      <c r="BM116" s="9">
        <f t="shared" si="147"/>
        <v>0</v>
      </c>
      <c r="BN116" s="9">
        <f t="shared" si="147"/>
        <v>0</v>
      </c>
      <c r="BO116" s="9">
        <f t="shared" si="147"/>
        <v>0</v>
      </c>
      <c r="BP116" s="9">
        <f t="shared" si="147"/>
        <v>0</v>
      </c>
      <c r="BQ116" s="9">
        <f t="shared" si="147"/>
        <v>0</v>
      </c>
      <c r="BR116" s="9">
        <f t="shared" si="147"/>
        <v>0</v>
      </c>
      <c r="BS116" s="9">
        <f t="shared" si="147"/>
        <v>0</v>
      </c>
      <c r="BT116" s="9">
        <f t="shared" si="147"/>
        <v>0</v>
      </c>
      <c r="BU116" s="9">
        <f t="shared" si="147"/>
        <v>0</v>
      </c>
      <c r="BV116" s="9">
        <f t="shared" si="147"/>
        <v>0</v>
      </c>
      <c r="BW116" s="9">
        <f t="shared" si="147"/>
        <v>0</v>
      </c>
      <c r="BX116" s="9">
        <f t="shared" si="147"/>
        <v>0</v>
      </c>
      <c r="BY116" s="9">
        <f t="shared" si="147"/>
        <v>0</v>
      </c>
    </row>
    <row r="117" spans="1:77" x14ac:dyDescent="0.2">
      <c r="A117" s="12"/>
      <c r="B117" s="4" t="s">
        <v>136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O117" s="9">
        <f t="shared" ref="AO117:BY117" si="148">+C117-C27</f>
        <v>0</v>
      </c>
      <c r="AP117" s="9">
        <f t="shared" si="148"/>
        <v>0</v>
      </c>
      <c r="AQ117" s="9">
        <f t="shared" si="148"/>
        <v>0</v>
      </c>
      <c r="AR117" s="9">
        <f t="shared" si="148"/>
        <v>0</v>
      </c>
      <c r="AS117" s="9">
        <f t="shared" si="148"/>
        <v>0</v>
      </c>
      <c r="AT117" s="9">
        <f t="shared" si="148"/>
        <v>0</v>
      </c>
      <c r="AU117" s="9">
        <f t="shared" si="148"/>
        <v>0</v>
      </c>
      <c r="AV117" s="9">
        <f t="shared" si="148"/>
        <v>0</v>
      </c>
      <c r="AW117" s="9">
        <f t="shared" si="148"/>
        <v>0</v>
      </c>
      <c r="AX117" s="9">
        <f t="shared" si="148"/>
        <v>0</v>
      </c>
      <c r="AY117" s="9">
        <f t="shared" si="148"/>
        <v>0</v>
      </c>
      <c r="AZ117" s="9">
        <f t="shared" si="148"/>
        <v>0</v>
      </c>
      <c r="BA117" s="9">
        <f t="shared" si="148"/>
        <v>0</v>
      </c>
      <c r="BB117" s="9">
        <f t="shared" si="148"/>
        <v>0</v>
      </c>
      <c r="BC117" s="9">
        <f t="shared" si="148"/>
        <v>0</v>
      </c>
      <c r="BD117" s="9">
        <f t="shared" si="148"/>
        <v>0</v>
      </c>
      <c r="BE117" s="9">
        <f t="shared" si="148"/>
        <v>0</v>
      </c>
      <c r="BF117" s="9">
        <f t="shared" si="148"/>
        <v>0</v>
      </c>
      <c r="BG117" s="9">
        <f t="shared" si="148"/>
        <v>0</v>
      </c>
      <c r="BH117" s="9">
        <f t="shared" si="148"/>
        <v>0</v>
      </c>
      <c r="BI117" s="9">
        <f t="shared" si="148"/>
        <v>0</v>
      </c>
      <c r="BJ117" s="9">
        <f t="shared" si="148"/>
        <v>0</v>
      </c>
      <c r="BK117" s="9">
        <f t="shared" si="148"/>
        <v>0</v>
      </c>
      <c r="BL117" s="9">
        <f t="shared" si="148"/>
        <v>0</v>
      </c>
      <c r="BM117" s="9">
        <f t="shared" si="148"/>
        <v>0</v>
      </c>
      <c r="BN117" s="9">
        <f t="shared" si="148"/>
        <v>0</v>
      </c>
      <c r="BO117" s="9">
        <f t="shared" si="148"/>
        <v>0</v>
      </c>
      <c r="BP117" s="9">
        <f t="shared" si="148"/>
        <v>0</v>
      </c>
      <c r="BQ117" s="9">
        <f t="shared" si="148"/>
        <v>0</v>
      </c>
      <c r="BR117" s="9">
        <f t="shared" si="148"/>
        <v>0</v>
      </c>
      <c r="BS117" s="9">
        <f t="shared" si="148"/>
        <v>0</v>
      </c>
      <c r="BT117" s="9">
        <f t="shared" si="148"/>
        <v>0</v>
      </c>
      <c r="BU117" s="9">
        <f t="shared" si="148"/>
        <v>0</v>
      </c>
      <c r="BV117" s="9">
        <f t="shared" si="148"/>
        <v>0</v>
      </c>
      <c r="BW117" s="9">
        <f t="shared" si="148"/>
        <v>0</v>
      </c>
      <c r="BX117" s="9">
        <f t="shared" si="148"/>
        <v>0</v>
      </c>
      <c r="BY117" s="9">
        <f t="shared" si="148"/>
        <v>0</v>
      </c>
    </row>
    <row r="118" spans="1:77" x14ac:dyDescent="0.2">
      <c r="A118" s="12"/>
      <c r="B118" s="4" t="s">
        <v>122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O118" s="9">
        <f t="shared" ref="AO118:BY118" si="149">+C118-C28</f>
        <v>0</v>
      </c>
      <c r="AP118" s="9">
        <f t="shared" si="149"/>
        <v>0</v>
      </c>
      <c r="AQ118" s="9">
        <f t="shared" si="149"/>
        <v>0</v>
      </c>
      <c r="AR118" s="9">
        <f t="shared" si="149"/>
        <v>0</v>
      </c>
      <c r="AS118" s="9">
        <f t="shared" si="149"/>
        <v>0</v>
      </c>
      <c r="AT118" s="9">
        <f t="shared" si="149"/>
        <v>0</v>
      </c>
      <c r="AU118" s="9">
        <f t="shared" si="149"/>
        <v>0</v>
      </c>
      <c r="AV118" s="9">
        <f t="shared" si="149"/>
        <v>0</v>
      </c>
      <c r="AW118" s="9">
        <f t="shared" si="149"/>
        <v>0</v>
      </c>
      <c r="AX118" s="9">
        <f t="shared" si="149"/>
        <v>0</v>
      </c>
      <c r="AY118" s="9">
        <f t="shared" si="149"/>
        <v>0</v>
      </c>
      <c r="AZ118" s="9">
        <f t="shared" si="149"/>
        <v>0</v>
      </c>
      <c r="BA118" s="9">
        <f t="shared" si="149"/>
        <v>0</v>
      </c>
      <c r="BB118" s="9">
        <f t="shared" si="149"/>
        <v>0</v>
      </c>
      <c r="BC118" s="9">
        <f t="shared" si="149"/>
        <v>0</v>
      </c>
      <c r="BD118" s="9">
        <f t="shared" si="149"/>
        <v>0</v>
      </c>
      <c r="BE118" s="9">
        <f t="shared" si="149"/>
        <v>0</v>
      </c>
      <c r="BF118" s="9">
        <f t="shared" si="149"/>
        <v>0</v>
      </c>
      <c r="BG118" s="9">
        <f t="shared" si="149"/>
        <v>0</v>
      </c>
      <c r="BH118" s="9">
        <f t="shared" si="149"/>
        <v>0</v>
      </c>
      <c r="BI118" s="9">
        <f t="shared" si="149"/>
        <v>0</v>
      </c>
      <c r="BJ118" s="9">
        <f t="shared" si="149"/>
        <v>0</v>
      </c>
      <c r="BK118" s="9">
        <f t="shared" si="149"/>
        <v>0</v>
      </c>
      <c r="BL118" s="9">
        <f t="shared" si="149"/>
        <v>0</v>
      </c>
      <c r="BM118" s="9">
        <f t="shared" si="149"/>
        <v>0</v>
      </c>
      <c r="BN118" s="9">
        <f t="shared" si="149"/>
        <v>0</v>
      </c>
      <c r="BO118" s="9">
        <f t="shared" si="149"/>
        <v>0</v>
      </c>
      <c r="BP118" s="9">
        <f t="shared" si="149"/>
        <v>0</v>
      </c>
      <c r="BQ118" s="9">
        <f t="shared" si="149"/>
        <v>0</v>
      </c>
      <c r="BR118" s="9">
        <f t="shared" si="149"/>
        <v>0</v>
      </c>
      <c r="BS118" s="9">
        <f t="shared" si="149"/>
        <v>0</v>
      </c>
      <c r="BT118" s="9">
        <f t="shared" si="149"/>
        <v>0</v>
      </c>
      <c r="BU118" s="9">
        <f t="shared" si="149"/>
        <v>0</v>
      </c>
      <c r="BV118" s="9">
        <f t="shared" si="149"/>
        <v>0</v>
      </c>
      <c r="BW118" s="9">
        <f t="shared" si="149"/>
        <v>0</v>
      </c>
      <c r="BX118" s="9">
        <f t="shared" si="149"/>
        <v>0</v>
      </c>
      <c r="BY118" s="9">
        <f t="shared" si="149"/>
        <v>0</v>
      </c>
    </row>
    <row r="119" spans="1:77" x14ac:dyDescent="0.2">
      <c r="A119" s="12"/>
      <c r="B119" s="4" t="s">
        <v>128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O119" s="9">
        <f t="shared" ref="AO119:BY119" si="150">+C119-C29</f>
        <v>0</v>
      </c>
      <c r="AP119" s="9">
        <f t="shared" si="150"/>
        <v>0</v>
      </c>
      <c r="AQ119" s="9">
        <f t="shared" si="150"/>
        <v>0</v>
      </c>
      <c r="AR119" s="9">
        <f t="shared" si="150"/>
        <v>0</v>
      </c>
      <c r="AS119" s="9">
        <f t="shared" si="150"/>
        <v>0</v>
      </c>
      <c r="AT119" s="9">
        <f t="shared" si="150"/>
        <v>0</v>
      </c>
      <c r="AU119" s="9">
        <f t="shared" si="150"/>
        <v>0</v>
      </c>
      <c r="AV119" s="9">
        <f t="shared" si="150"/>
        <v>0</v>
      </c>
      <c r="AW119" s="9">
        <f t="shared" si="150"/>
        <v>0</v>
      </c>
      <c r="AX119" s="9">
        <f t="shared" si="150"/>
        <v>0</v>
      </c>
      <c r="AY119" s="9">
        <f t="shared" si="150"/>
        <v>0</v>
      </c>
      <c r="AZ119" s="9">
        <f t="shared" si="150"/>
        <v>0</v>
      </c>
      <c r="BA119" s="9">
        <f t="shared" si="150"/>
        <v>0</v>
      </c>
      <c r="BB119" s="9">
        <f t="shared" si="150"/>
        <v>0</v>
      </c>
      <c r="BC119" s="9">
        <f t="shared" si="150"/>
        <v>0</v>
      </c>
      <c r="BD119" s="9">
        <f t="shared" si="150"/>
        <v>0</v>
      </c>
      <c r="BE119" s="9">
        <f t="shared" si="150"/>
        <v>0</v>
      </c>
      <c r="BF119" s="9">
        <f t="shared" si="150"/>
        <v>0</v>
      </c>
      <c r="BG119" s="9">
        <f t="shared" si="150"/>
        <v>0</v>
      </c>
      <c r="BH119" s="9">
        <f t="shared" si="150"/>
        <v>0</v>
      </c>
      <c r="BI119" s="9">
        <f t="shared" si="150"/>
        <v>0</v>
      </c>
      <c r="BJ119" s="9">
        <f t="shared" si="150"/>
        <v>0</v>
      </c>
      <c r="BK119" s="9">
        <f t="shared" si="150"/>
        <v>0</v>
      </c>
      <c r="BL119" s="9">
        <f t="shared" si="150"/>
        <v>0</v>
      </c>
      <c r="BM119" s="9">
        <f t="shared" si="150"/>
        <v>0</v>
      </c>
      <c r="BN119" s="9">
        <f t="shared" si="150"/>
        <v>0</v>
      </c>
      <c r="BO119" s="9">
        <f t="shared" si="150"/>
        <v>0</v>
      </c>
      <c r="BP119" s="9">
        <f t="shared" si="150"/>
        <v>0</v>
      </c>
      <c r="BQ119" s="9">
        <f t="shared" si="150"/>
        <v>0</v>
      </c>
      <c r="BR119" s="9">
        <f t="shared" si="150"/>
        <v>0</v>
      </c>
      <c r="BS119" s="9">
        <f t="shared" si="150"/>
        <v>0</v>
      </c>
      <c r="BT119" s="9">
        <f t="shared" si="150"/>
        <v>0</v>
      </c>
      <c r="BU119" s="9">
        <f t="shared" si="150"/>
        <v>0</v>
      </c>
      <c r="BV119" s="9">
        <f t="shared" si="150"/>
        <v>0</v>
      </c>
      <c r="BW119" s="9">
        <f t="shared" si="150"/>
        <v>0</v>
      </c>
      <c r="BX119" s="9">
        <f t="shared" si="150"/>
        <v>0</v>
      </c>
      <c r="BY119" s="9">
        <f t="shared" si="150"/>
        <v>0</v>
      </c>
    </row>
    <row r="120" spans="1:77" x14ac:dyDescent="0.2">
      <c r="A120" s="12"/>
      <c r="B120" s="4" t="s">
        <v>120</v>
      </c>
      <c r="C120" s="7">
        <v>19.177500187377401</v>
      </c>
      <c r="D120" s="7">
        <v>17.803062031316099</v>
      </c>
      <c r="E120" s="7">
        <v>16.912008990252001</v>
      </c>
      <c r="F120" s="7">
        <v>15.2003129588802</v>
      </c>
      <c r="G120" s="7">
        <v>190.8731700486</v>
      </c>
      <c r="H120" s="7">
        <v>12.3744733265018</v>
      </c>
      <c r="I120" s="7">
        <v>10.423323092292801</v>
      </c>
      <c r="J120" s="7">
        <v>8.2431505269302505</v>
      </c>
      <c r="K120" s="7">
        <v>7.6284696234662697</v>
      </c>
      <c r="L120" s="7">
        <v>6.9643068955528502</v>
      </c>
      <c r="M120" s="7">
        <v>4.38023132703945</v>
      </c>
      <c r="N120" s="7">
        <v>4.23209472400168</v>
      </c>
      <c r="O120" s="7">
        <v>4.13543354585582</v>
      </c>
      <c r="P120" s="7">
        <v>3.5400321525097702</v>
      </c>
      <c r="Q120" s="7">
        <v>3.4591777053213901</v>
      </c>
      <c r="R120" s="7">
        <v>2.8460393493501299</v>
      </c>
      <c r="S120" s="7">
        <v>2.1344643991660699</v>
      </c>
      <c r="T120" s="7">
        <v>2.2632098267453102</v>
      </c>
      <c r="U120" s="7">
        <v>2.2333927654269399</v>
      </c>
      <c r="V120" s="7">
        <v>1.8379516814330601</v>
      </c>
      <c r="W120" s="7">
        <v>1.8142123718710099</v>
      </c>
      <c r="X120" s="7">
        <v>1.7910152683349601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O120" s="9">
        <f t="shared" ref="AO120:BY120" si="151">+C120-C30</f>
        <v>0</v>
      </c>
      <c r="AP120" s="9">
        <f t="shared" si="151"/>
        <v>0</v>
      </c>
      <c r="AQ120" s="9">
        <f t="shared" si="151"/>
        <v>0</v>
      </c>
      <c r="AR120" s="9">
        <f t="shared" si="151"/>
        <v>-91.401173330634791</v>
      </c>
      <c r="AS120" s="9">
        <f t="shared" si="151"/>
        <v>0.52352317106800683</v>
      </c>
      <c r="AT120" s="9">
        <f t="shared" si="151"/>
        <v>0</v>
      </c>
      <c r="AU120" s="9">
        <f t="shared" si="151"/>
        <v>0</v>
      </c>
      <c r="AV120" s="9">
        <f t="shared" si="151"/>
        <v>0</v>
      </c>
      <c r="AW120" s="9">
        <f t="shared" si="151"/>
        <v>0</v>
      </c>
      <c r="AX120" s="9">
        <f t="shared" si="151"/>
        <v>0</v>
      </c>
      <c r="AY120" s="9">
        <f t="shared" si="151"/>
        <v>0</v>
      </c>
      <c r="AZ120" s="9">
        <f t="shared" si="151"/>
        <v>0</v>
      </c>
      <c r="BA120" s="9">
        <f t="shared" si="151"/>
        <v>0</v>
      </c>
      <c r="BB120" s="9">
        <f t="shared" si="151"/>
        <v>0</v>
      </c>
      <c r="BC120" s="9">
        <f t="shared" si="151"/>
        <v>0</v>
      </c>
      <c r="BD120" s="9">
        <f t="shared" si="151"/>
        <v>0</v>
      </c>
      <c r="BE120" s="9">
        <f t="shared" si="151"/>
        <v>0</v>
      </c>
      <c r="BF120" s="9">
        <f t="shared" si="151"/>
        <v>0</v>
      </c>
      <c r="BG120" s="9">
        <f t="shared" si="151"/>
        <v>0</v>
      </c>
      <c r="BH120" s="9">
        <f t="shared" si="151"/>
        <v>0</v>
      </c>
      <c r="BI120" s="9">
        <f t="shared" si="151"/>
        <v>0</v>
      </c>
      <c r="BJ120" s="9">
        <f t="shared" si="151"/>
        <v>0</v>
      </c>
      <c r="BK120" s="9">
        <f t="shared" si="151"/>
        <v>0</v>
      </c>
      <c r="BL120" s="9">
        <f t="shared" si="151"/>
        <v>0</v>
      </c>
      <c r="BM120" s="9">
        <f t="shared" si="151"/>
        <v>0</v>
      </c>
      <c r="BN120" s="9">
        <f t="shared" si="151"/>
        <v>0</v>
      </c>
      <c r="BO120" s="9">
        <f t="shared" si="151"/>
        <v>0</v>
      </c>
      <c r="BP120" s="9">
        <f t="shared" si="151"/>
        <v>0</v>
      </c>
      <c r="BQ120" s="9">
        <f t="shared" si="151"/>
        <v>0</v>
      </c>
      <c r="BR120" s="9">
        <f t="shared" si="151"/>
        <v>0</v>
      </c>
      <c r="BS120" s="9">
        <f t="shared" si="151"/>
        <v>0</v>
      </c>
      <c r="BT120" s="9">
        <f t="shared" si="151"/>
        <v>0</v>
      </c>
      <c r="BU120" s="9">
        <f t="shared" si="151"/>
        <v>0</v>
      </c>
      <c r="BV120" s="9">
        <f t="shared" si="151"/>
        <v>0</v>
      </c>
      <c r="BW120" s="9">
        <f t="shared" si="151"/>
        <v>0</v>
      </c>
      <c r="BX120" s="9">
        <f t="shared" si="151"/>
        <v>0</v>
      </c>
      <c r="BY120" s="9">
        <f t="shared" si="151"/>
        <v>0</v>
      </c>
    </row>
    <row r="121" spans="1:77" x14ac:dyDescent="0.2">
      <c r="A121" s="12"/>
      <c r="B121" s="4" t="s">
        <v>131</v>
      </c>
      <c r="C121" s="7">
        <v>1E-3</v>
      </c>
      <c r="D121" s="7">
        <v>1E-3</v>
      </c>
      <c r="E121" s="7">
        <v>1E-3</v>
      </c>
      <c r="F121" s="7">
        <v>1E-3</v>
      </c>
      <c r="G121" s="7">
        <v>1E-3</v>
      </c>
      <c r="H121" s="7">
        <v>1E-3</v>
      </c>
      <c r="I121" s="7">
        <v>1E-3</v>
      </c>
      <c r="J121" s="7">
        <v>1E-3</v>
      </c>
      <c r="K121" s="7">
        <v>1E-3</v>
      </c>
      <c r="L121" s="7">
        <v>1E-3</v>
      </c>
      <c r="M121" s="7">
        <v>1E-3</v>
      </c>
      <c r="N121" s="7">
        <v>1E-3</v>
      </c>
      <c r="O121" s="7">
        <v>1E-3</v>
      </c>
      <c r="P121" s="7">
        <v>1E-3</v>
      </c>
      <c r="Q121" s="7">
        <v>1E-3</v>
      </c>
      <c r="R121" s="7">
        <v>1E-3</v>
      </c>
      <c r="S121" s="7">
        <v>1E-3</v>
      </c>
      <c r="T121" s="7">
        <v>1E-3</v>
      </c>
      <c r="U121" s="7">
        <v>1E-3</v>
      </c>
      <c r="V121" s="7">
        <v>1E-3</v>
      </c>
      <c r="W121" s="7">
        <v>1E-3</v>
      </c>
      <c r="X121" s="7">
        <v>1E-3</v>
      </c>
      <c r="Y121" s="7">
        <v>1E-3</v>
      </c>
      <c r="Z121" s="7">
        <v>1E-3</v>
      </c>
      <c r="AA121" s="7">
        <v>1E-3</v>
      </c>
      <c r="AB121" s="7">
        <v>1E-3</v>
      </c>
      <c r="AC121" s="7">
        <v>1E-3</v>
      </c>
      <c r="AD121" s="7">
        <v>1E-3</v>
      </c>
      <c r="AE121" s="7">
        <v>1E-3</v>
      </c>
      <c r="AF121" s="7">
        <v>1E-3</v>
      </c>
      <c r="AG121" s="7">
        <v>1E-3</v>
      </c>
      <c r="AH121" s="7">
        <v>1E-3</v>
      </c>
      <c r="AI121" s="7">
        <v>1E-3</v>
      </c>
      <c r="AJ121" s="7">
        <v>1E-3</v>
      </c>
      <c r="AK121" s="7">
        <v>1E-3</v>
      </c>
      <c r="AL121" s="7">
        <v>1E-3</v>
      </c>
      <c r="AM121" s="7">
        <v>1E-3</v>
      </c>
      <c r="AO121" s="9">
        <f t="shared" ref="AO121:BY121" si="152">+C121-C31</f>
        <v>0</v>
      </c>
      <c r="AP121" s="9">
        <f t="shared" si="152"/>
        <v>0</v>
      </c>
      <c r="AQ121" s="9">
        <f t="shared" si="152"/>
        <v>0</v>
      </c>
      <c r="AR121" s="9">
        <f t="shared" si="152"/>
        <v>0</v>
      </c>
      <c r="AS121" s="9">
        <f t="shared" si="152"/>
        <v>0</v>
      </c>
      <c r="AT121" s="9">
        <f t="shared" si="152"/>
        <v>0</v>
      </c>
      <c r="AU121" s="9">
        <f t="shared" si="152"/>
        <v>0</v>
      </c>
      <c r="AV121" s="9">
        <f t="shared" si="152"/>
        <v>0</v>
      </c>
      <c r="AW121" s="9">
        <f t="shared" si="152"/>
        <v>0</v>
      </c>
      <c r="AX121" s="9">
        <f t="shared" si="152"/>
        <v>0</v>
      </c>
      <c r="AY121" s="9">
        <f t="shared" si="152"/>
        <v>0</v>
      </c>
      <c r="AZ121" s="9">
        <f t="shared" si="152"/>
        <v>0</v>
      </c>
      <c r="BA121" s="9">
        <f t="shared" si="152"/>
        <v>0</v>
      </c>
      <c r="BB121" s="9">
        <f t="shared" si="152"/>
        <v>0</v>
      </c>
      <c r="BC121" s="9">
        <f t="shared" si="152"/>
        <v>0</v>
      </c>
      <c r="BD121" s="9">
        <f t="shared" si="152"/>
        <v>0</v>
      </c>
      <c r="BE121" s="9">
        <f t="shared" si="152"/>
        <v>0</v>
      </c>
      <c r="BF121" s="9">
        <f t="shared" si="152"/>
        <v>0</v>
      </c>
      <c r="BG121" s="9">
        <f t="shared" si="152"/>
        <v>0</v>
      </c>
      <c r="BH121" s="9">
        <f t="shared" si="152"/>
        <v>0</v>
      </c>
      <c r="BI121" s="9">
        <f t="shared" si="152"/>
        <v>0</v>
      </c>
      <c r="BJ121" s="9">
        <f t="shared" si="152"/>
        <v>0</v>
      </c>
      <c r="BK121" s="9">
        <f t="shared" si="152"/>
        <v>0</v>
      </c>
      <c r="BL121" s="9">
        <f t="shared" si="152"/>
        <v>0</v>
      </c>
      <c r="BM121" s="9">
        <f t="shared" si="152"/>
        <v>0</v>
      </c>
      <c r="BN121" s="9">
        <f t="shared" si="152"/>
        <v>0</v>
      </c>
      <c r="BO121" s="9">
        <f t="shared" si="152"/>
        <v>0</v>
      </c>
      <c r="BP121" s="9">
        <f t="shared" si="152"/>
        <v>0</v>
      </c>
      <c r="BQ121" s="9">
        <f t="shared" si="152"/>
        <v>0</v>
      </c>
      <c r="BR121" s="9">
        <f t="shared" si="152"/>
        <v>0</v>
      </c>
      <c r="BS121" s="9">
        <f t="shared" si="152"/>
        <v>0</v>
      </c>
      <c r="BT121" s="9">
        <f t="shared" si="152"/>
        <v>0</v>
      </c>
      <c r="BU121" s="9">
        <f t="shared" si="152"/>
        <v>0</v>
      </c>
      <c r="BV121" s="9">
        <f t="shared" si="152"/>
        <v>0</v>
      </c>
      <c r="BW121" s="9">
        <f t="shared" si="152"/>
        <v>0</v>
      </c>
      <c r="BX121" s="9">
        <f t="shared" si="152"/>
        <v>0</v>
      </c>
      <c r="BY121" s="9">
        <f t="shared" si="152"/>
        <v>0</v>
      </c>
    </row>
    <row r="122" spans="1:77" x14ac:dyDescent="0.2">
      <c r="A122" s="12"/>
      <c r="B122" s="4" t="s">
        <v>119</v>
      </c>
      <c r="C122" s="7">
        <v>0.85170101042173296</v>
      </c>
      <c r="D122" s="7">
        <v>0.868527249393655</v>
      </c>
      <c r="E122" s="7">
        <v>0.88477941097730495</v>
      </c>
      <c r="F122" s="7">
        <v>4.0016657669473101</v>
      </c>
      <c r="G122" s="7">
        <v>7.4888427766961803</v>
      </c>
      <c r="H122" s="7">
        <v>11.8380465395201</v>
      </c>
      <c r="I122" s="7">
        <v>17.786633291309599</v>
      </c>
      <c r="J122" s="7">
        <v>24.4840599584568</v>
      </c>
      <c r="K122" s="7">
        <v>31.968711046167101</v>
      </c>
      <c r="L122" s="7">
        <v>40.291208900002601</v>
      </c>
      <c r="M122" s="7">
        <v>49.490109856986798</v>
      </c>
      <c r="N122" s="7">
        <v>59.600226756958897</v>
      </c>
      <c r="O122" s="7">
        <v>70.653816832621402</v>
      </c>
      <c r="P122" s="7">
        <v>82.653369823435895</v>
      </c>
      <c r="Q122" s="7">
        <v>95.647244031075005</v>
      </c>
      <c r="R122" s="7">
        <v>107.986875158001</v>
      </c>
      <c r="S122" s="7">
        <v>121.062219073181</v>
      </c>
      <c r="T122" s="7">
        <v>136.11371778521999</v>
      </c>
      <c r="U122" s="7">
        <v>149.85692833799899</v>
      </c>
      <c r="V122" s="7">
        <v>165.07772874765499</v>
      </c>
      <c r="W122" s="7">
        <v>181.355471885263</v>
      </c>
      <c r="X122" s="7">
        <v>199.15929178955599</v>
      </c>
      <c r="Y122" s="7">
        <v>216.529031235817</v>
      </c>
      <c r="Z122" s="7">
        <v>234.80235080023701</v>
      </c>
      <c r="AA122" s="7">
        <v>254.34733072451999</v>
      </c>
      <c r="AB122" s="7">
        <v>273.65483579989302</v>
      </c>
      <c r="AC122" s="7">
        <v>293.609983754621</v>
      </c>
      <c r="AD122" s="7">
        <v>314.22284518144102</v>
      </c>
      <c r="AE122" s="7">
        <v>334.82361481029602</v>
      </c>
      <c r="AF122" s="7">
        <v>355.97580296551803</v>
      </c>
      <c r="AG122" s="7">
        <v>377.64420109438697</v>
      </c>
      <c r="AH122" s="7">
        <v>399.82547990056099</v>
      </c>
      <c r="AI122" s="7">
        <v>422.47973101082198</v>
      </c>
      <c r="AJ122" s="7">
        <v>445.60400366328503</v>
      </c>
      <c r="AK122" s="7">
        <v>469.22039621515597</v>
      </c>
      <c r="AL122" s="7">
        <v>493.33159874073402</v>
      </c>
      <c r="AM122" s="7">
        <v>517.96777003217198</v>
      </c>
      <c r="AO122" s="9">
        <f t="shared" ref="AO122:BY122" si="153">+C122-C32</f>
        <v>7.0918987804539091E-3</v>
      </c>
      <c r="AP122" s="9">
        <f t="shared" si="153"/>
        <v>1.4334856812786012E-2</v>
      </c>
      <c r="AQ122" s="9">
        <f t="shared" si="153"/>
        <v>2.2479668333257985E-2</v>
      </c>
      <c r="AR122" s="9">
        <f t="shared" si="153"/>
        <v>2.4068788481947601</v>
      </c>
      <c r="AS122" s="9">
        <f t="shared" si="153"/>
        <v>5.1399073363115404</v>
      </c>
      <c r="AT122" s="9">
        <f t="shared" si="153"/>
        <v>8.7135641683457301</v>
      </c>
      <c r="AU122" s="9">
        <f t="shared" si="153"/>
        <v>13.858513777627959</v>
      </c>
      <c r="AV122" s="9">
        <f t="shared" si="153"/>
        <v>19.717496083602171</v>
      </c>
      <c r="AW122" s="9">
        <f t="shared" si="153"/>
        <v>26.323201053387542</v>
      </c>
      <c r="AX122" s="9">
        <f t="shared" si="153"/>
        <v>33.716954175098031</v>
      </c>
      <c r="AY122" s="9">
        <f t="shared" si="153"/>
        <v>41.928907435894409</v>
      </c>
      <c r="AZ122" s="9">
        <f t="shared" si="153"/>
        <v>50.985307416980618</v>
      </c>
      <c r="BA122" s="9">
        <f t="shared" si="153"/>
        <v>60.909941672352531</v>
      </c>
      <c r="BB122" s="9">
        <f t="shared" si="153"/>
        <v>71.700133182376291</v>
      </c>
      <c r="BC122" s="9">
        <f t="shared" si="153"/>
        <v>83.394929099186612</v>
      </c>
      <c r="BD122" s="9">
        <f t="shared" si="153"/>
        <v>94.339259848074505</v>
      </c>
      <c r="BE122" s="9">
        <f t="shared" si="153"/>
        <v>105.9175217324304</v>
      </c>
      <c r="BF122" s="9">
        <f t="shared" si="153"/>
        <v>119.36567925204528</v>
      </c>
      <c r="BG122" s="9">
        <f t="shared" si="153"/>
        <v>131.4015453720107</v>
      </c>
      <c r="BH122" s="9">
        <f t="shared" si="153"/>
        <v>144.8063874322732</v>
      </c>
      <c r="BI122" s="9">
        <f t="shared" si="153"/>
        <v>159.15926793283461</v>
      </c>
      <c r="BJ122" s="9">
        <f t="shared" si="153"/>
        <v>174.92980916205821</v>
      </c>
      <c r="BK122" s="9">
        <f t="shared" si="153"/>
        <v>190.159080807626</v>
      </c>
      <c r="BL122" s="9">
        <f t="shared" si="153"/>
        <v>206.1948273017023</v>
      </c>
      <c r="BM122" s="9">
        <f t="shared" si="153"/>
        <v>223.40366986821499</v>
      </c>
      <c r="BN122" s="9">
        <f t="shared" si="153"/>
        <v>240.27933111092872</v>
      </c>
      <c r="BO122" s="9">
        <f t="shared" si="153"/>
        <v>257.70961678987942</v>
      </c>
      <c r="BP122" s="9">
        <f t="shared" si="153"/>
        <v>275.70710900397484</v>
      </c>
      <c r="BQ122" s="9">
        <f t="shared" si="153"/>
        <v>293.63300680522252</v>
      </c>
      <c r="BR122" s="9">
        <f t="shared" si="153"/>
        <v>312.03898650791393</v>
      </c>
      <c r="BS122" s="9">
        <f t="shared" si="153"/>
        <v>330.89161323093577</v>
      </c>
      <c r="BT122" s="9">
        <f t="shared" si="153"/>
        <v>350.18864878116688</v>
      </c>
      <c r="BU122" s="9">
        <f t="shared" si="153"/>
        <v>369.89127765818159</v>
      </c>
      <c r="BV122" s="9">
        <f t="shared" si="153"/>
        <v>389.99701675380993</v>
      </c>
      <c r="BW122" s="9">
        <f t="shared" si="153"/>
        <v>410.52770734095066</v>
      </c>
      <c r="BX122" s="9">
        <f t="shared" si="153"/>
        <v>431.48550594923444</v>
      </c>
      <c r="BY122" s="9">
        <f t="shared" si="153"/>
        <v>452.8994351516323</v>
      </c>
    </row>
    <row r="123" spans="1:77" x14ac:dyDescent="0.2">
      <c r="A123" s="12"/>
      <c r="B123" s="4" t="s">
        <v>125</v>
      </c>
      <c r="C123" s="7">
        <v>204.863488178951</v>
      </c>
      <c r="D123" s="7">
        <v>202.085326049515</v>
      </c>
      <c r="E123" s="7">
        <v>197.73093742853999</v>
      </c>
      <c r="F123" s="7">
        <v>73.4537040090094</v>
      </c>
      <c r="G123" s="7">
        <v>65.863658311167598</v>
      </c>
      <c r="H123" s="7">
        <v>62.477534546210499</v>
      </c>
      <c r="I123" s="7">
        <v>61.148233471055697</v>
      </c>
      <c r="J123" s="7">
        <v>59.849293667059797</v>
      </c>
      <c r="K123" s="7">
        <v>56.602645444834103</v>
      </c>
      <c r="L123" s="7">
        <v>55.404229553337998</v>
      </c>
      <c r="M123" s="7">
        <v>53.966370729776997</v>
      </c>
      <c r="N123" s="7">
        <v>53.015090496796098</v>
      </c>
      <c r="O123" s="7">
        <v>51.712434719803603</v>
      </c>
      <c r="P123" s="7">
        <v>50.619811998362799</v>
      </c>
      <c r="Q123" s="7">
        <v>49.404549469242397</v>
      </c>
      <c r="R123" s="7">
        <v>47.992279413224701</v>
      </c>
      <c r="S123" s="7">
        <v>46.972826369423402</v>
      </c>
      <c r="T123" s="7">
        <v>45.366126612743997</v>
      </c>
      <c r="U123" s="7">
        <v>44.227713615021599</v>
      </c>
      <c r="V123" s="7">
        <v>43.103110692195699</v>
      </c>
      <c r="W123" s="7">
        <v>41.991595566668103</v>
      </c>
      <c r="X123" s="7">
        <v>40.893254164892902</v>
      </c>
      <c r="Y123" s="7">
        <v>39.807498826795197</v>
      </c>
      <c r="Z123" s="7">
        <v>38.733957963605</v>
      </c>
      <c r="AA123" s="7">
        <v>37.672601498878201</v>
      </c>
      <c r="AB123" s="7">
        <v>36.623514465330999</v>
      </c>
      <c r="AC123" s="7">
        <v>35.650441249719499</v>
      </c>
      <c r="AD123" s="7">
        <v>34.859781627115403</v>
      </c>
      <c r="AE123" s="7">
        <v>34.712186276547101</v>
      </c>
      <c r="AF123" s="7">
        <v>34.712186276547101</v>
      </c>
      <c r="AG123" s="7">
        <v>34.011108286959299</v>
      </c>
      <c r="AH123" s="7">
        <v>34.231472001677901</v>
      </c>
      <c r="AI123" s="7">
        <v>34.2672987975618</v>
      </c>
      <c r="AJ123" s="7">
        <v>34.269400175249999</v>
      </c>
      <c r="AK123" s="7">
        <v>29.402611816229999</v>
      </c>
      <c r="AL123" s="7">
        <v>0</v>
      </c>
      <c r="AM123" s="7">
        <v>0</v>
      </c>
      <c r="AO123" s="9">
        <f t="shared" ref="AO123:BY123" si="154">+C123-C33</f>
        <v>2.7244415649988696E-2</v>
      </c>
      <c r="AP123" s="9">
        <f t="shared" si="154"/>
        <v>7.2703755747994592E-2</v>
      </c>
      <c r="AQ123" s="9">
        <f t="shared" si="154"/>
        <v>0.10871421278798721</v>
      </c>
      <c r="AR123" s="9">
        <f t="shared" si="154"/>
        <v>-12.549766422577207</v>
      </c>
      <c r="AS123" s="9">
        <f t="shared" si="154"/>
        <v>-3.5219703502248052</v>
      </c>
      <c r="AT123" s="9">
        <f t="shared" si="154"/>
        <v>-5.689505631150503</v>
      </c>
      <c r="AU123" s="9">
        <f t="shared" si="154"/>
        <v>-6.4334930506922987</v>
      </c>
      <c r="AV123" s="9">
        <f t="shared" si="154"/>
        <v>-7.2169808784792053</v>
      </c>
      <c r="AW123" s="9">
        <f t="shared" si="154"/>
        <v>-9.9903747454982934</v>
      </c>
      <c r="AX123" s="9">
        <f t="shared" si="154"/>
        <v>-10.779720493239097</v>
      </c>
      <c r="AY123" s="9">
        <f t="shared" si="154"/>
        <v>-11.873618760039406</v>
      </c>
      <c r="AZ123" s="9">
        <f t="shared" si="154"/>
        <v>-12.540406261466707</v>
      </c>
      <c r="BA123" s="9">
        <f t="shared" si="154"/>
        <v>-13.624068288290893</v>
      </c>
      <c r="BB123" s="9">
        <f t="shared" si="154"/>
        <v>-14.554593787880599</v>
      </c>
      <c r="BC123" s="9">
        <f t="shared" si="154"/>
        <v>-15.679590617076499</v>
      </c>
      <c r="BD123" s="9">
        <f t="shared" si="154"/>
        <v>-17.074515337091505</v>
      </c>
      <c r="BE123" s="9">
        <f t="shared" si="154"/>
        <v>-18.145790801809795</v>
      </c>
      <c r="BF123" s="9">
        <f t="shared" si="154"/>
        <v>-19.864903229986609</v>
      </c>
      <c r="BG123" s="9">
        <f t="shared" si="154"/>
        <v>-21.133274246794201</v>
      </c>
      <c r="BH123" s="9">
        <f t="shared" si="154"/>
        <v>-22.407666606385206</v>
      </c>
      <c r="BI123" s="9">
        <f t="shared" si="154"/>
        <v>-23.677275667043297</v>
      </c>
      <c r="BJ123" s="9">
        <f t="shared" si="154"/>
        <v>-24.943875089728003</v>
      </c>
      <c r="BK123" s="9">
        <f t="shared" si="154"/>
        <v>-26.210004746768107</v>
      </c>
      <c r="BL123" s="9">
        <f t="shared" si="154"/>
        <v>-27.468159528032295</v>
      </c>
      <c r="BM123" s="9">
        <f t="shared" si="154"/>
        <v>-28.720568408939094</v>
      </c>
      <c r="BN123" s="9">
        <f t="shared" si="154"/>
        <v>-29.973984220066498</v>
      </c>
      <c r="BO123" s="9">
        <f t="shared" si="154"/>
        <v>-31.1734888440429</v>
      </c>
      <c r="BP123" s="9">
        <f t="shared" si="154"/>
        <v>-32.217450936317199</v>
      </c>
      <c r="BQ123" s="9">
        <f t="shared" si="154"/>
        <v>-34.144412171368998</v>
      </c>
      <c r="BR123" s="9">
        <f t="shared" si="154"/>
        <v>-35.943496461332401</v>
      </c>
      <c r="BS123" s="9">
        <f t="shared" si="154"/>
        <v>-38.449742910374397</v>
      </c>
      <c r="BT123" s="9">
        <f t="shared" si="154"/>
        <v>-40.040457720742694</v>
      </c>
      <c r="BU123" s="9">
        <f t="shared" si="154"/>
        <v>-41.808723069889801</v>
      </c>
      <c r="BV123" s="9">
        <f t="shared" si="154"/>
        <v>-43.604745907955305</v>
      </c>
      <c r="BW123" s="9">
        <f t="shared" si="154"/>
        <v>-50.271827207852404</v>
      </c>
      <c r="BX123" s="9">
        <f t="shared" si="154"/>
        <v>-81.477552346645695</v>
      </c>
      <c r="BY123" s="9">
        <f t="shared" si="154"/>
        <v>-83.2913213159582</v>
      </c>
    </row>
    <row r="124" spans="1:77" x14ac:dyDescent="0.2">
      <c r="A124" s="12"/>
      <c r="B124" s="4" t="s">
        <v>137</v>
      </c>
      <c r="C124" s="7">
        <v>20.939844196821198</v>
      </c>
      <c r="D124" s="7">
        <v>41.787528071059</v>
      </c>
      <c r="E124" s="7">
        <v>62.398220500348899</v>
      </c>
      <c r="F124" s="7">
        <v>111.638015569535</v>
      </c>
      <c r="G124" s="7">
        <v>152.95531417725201</v>
      </c>
      <c r="H124" s="7">
        <v>187.231156678486</v>
      </c>
      <c r="I124" s="7">
        <v>239.12805568808801</v>
      </c>
      <c r="J124" s="7">
        <v>281.25047829616699</v>
      </c>
      <c r="K124" s="7">
        <v>314.493884952249</v>
      </c>
      <c r="L124" s="7">
        <v>340.121768696559</v>
      </c>
      <c r="M124" s="7">
        <v>359.21999161280399</v>
      </c>
      <c r="N124" s="7">
        <v>372.70406300236999</v>
      </c>
      <c r="O124" s="7">
        <v>381.34949092803299</v>
      </c>
      <c r="P124" s="7">
        <v>385.81824596572</v>
      </c>
      <c r="Q124" s="7">
        <v>386.672347354387</v>
      </c>
      <c r="R124" s="7">
        <v>386.672347354387</v>
      </c>
      <c r="S124" s="7">
        <v>386.672347354387</v>
      </c>
      <c r="T124" s="7">
        <v>386.672347354387</v>
      </c>
      <c r="U124" s="7">
        <v>386.672347354387</v>
      </c>
      <c r="V124" s="7">
        <v>386.672347354387</v>
      </c>
      <c r="W124" s="7">
        <v>386.672347354387</v>
      </c>
      <c r="X124" s="7">
        <v>386.672347354387</v>
      </c>
      <c r="Y124" s="7">
        <v>386.672347354387</v>
      </c>
      <c r="Z124" s="7">
        <v>386.672347354387</v>
      </c>
      <c r="AA124" s="7">
        <v>386.672347354387</v>
      </c>
      <c r="AB124" s="7">
        <v>386.672347354387</v>
      </c>
      <c r="AC124" s="7">
        <v>386.672347354387</v>
      </c>
      <c r="AD124" s="7">
        <v>386.672347354387</v>
      </c>
      <c r="AE124" s="7">
        <v>386.672347354387</v>
      </c>
      <c r="AF124" s="7">
        <v>386.672347354387</v>
      </c>
      <c r="AG124" s="7">
        <v>386.672347354387</v>
      </c>
      <c r="AH124" s="7">
        <v>386.672347354387</v>
      </c>
      <c r="AI124" s="7">
        <v>386.672347354387</v>
      </c>
      <c r="AJ124" s="7">
        <v>386.672347354387</v>
      </c>
      <c r="AK124" s="7">
        <v>386.672347354387</v>
      </c>
      <c r="AL124" s="7">
        <v>386.672347354387</v>
      </c>
      <c r="AM124" s="7">
        <v>386.672347354387</v>
      </c>
      <c r="AO124" s="9">
        <f t="shared" ref="AO124:BY124" si="155">+C124-C34</f>
        <v>20.939844196821198</v>
      </c>
      <c r="AP124" s="9">
        <f t="shared" si="155"/>
        <v>41.787528071059</v>
      </c>
      <c r="AQ124" s="9">
        <f t="shared" si="155"/>
        <v>62.398220500348899</v>
      </c>
      <c r="AR124" s="9">
        <f t="shared" si="155"/>
        <v>111.638015569535</v>
      </c>
      <c r="AS124" s="9">
        <f t="shared" si="155"/>
        <v>152.95531417725201</v>
      </c>
      <c r="AT124" s="9">
        <f t="shared" si="155"/>
        <v>187.231156678486</v>
      </c>
      <c r="AU124" s="9">
        <f t="shared" si="155"/>
        <v>201.69144246273549</v>
      </c>
      <c r="AV124" s="9">
        <f t="shared" si="155"/>
        <v>206.86184166300089</v>
      </c>
      <c r="AW124" s="9">
        <f t="shared" si="155"/>
        <v>203.59272916576001</v>
      </c>
      <c r="AX124" s="9">
        <f t="shared" si="155"/>
        <v>193.104462909647</v>
      </c>
      <c r="AY124" s="9">
        <f t="shared" si="155"/>
        <v>176.44166962352401</v>
      </c>
      <c r="AZ124" s="9">
        <f t="shared" si="155"/>
        <v>154.48048404209399</v>
      </c>
      <c r="BA124" s="9">
        <f t="shared" si="155"/>
        <v>127.95887473757099</v>
      </c>
      <c r="BB124" s="9">
        <f t="shared" si="155"/>
        <v>97.503094566937989</v>
      </c>
      <c r="BC124" s="9">
        <f t="shared" si="155"/>
        <v>63.641266651161004</v>
      </c>
      <c r="BD124" s="9">
        <f t="shared" si="155"/>
        <v>29.101883064815979</v>
      </c>
      <c r="BE124" s="9">
        <f t="shared" si="155"/>
        <v>-5.267169284598026</v>
      </c>
      <c r="BF124" s="9">
        <f t="shared" si="155"/>
        <v>-39.437726249271009</v>
      </c>
      <c r="BG124" s="9">
        <f t="shared" si="155"/>
        <v>-73.220616980092018</v>
      </c>
      <c r="BH124" s="9">
        <f t="shared" si="155"/>
        <v>-106.54617714099402</v>
      </c>
      <c r="BI124" s="9">
        <f t="shared" si="155"/>
        <v>-139.30476188782001</v>
      </c>
      <c r="BJ124" s="9">
        <f t="shared" si="155"/>
        <v>-171.456316878721</v>
      </c>
      <c r="BK124" s="9">
        <f t="shared" si="155"/>
        <v>-202.96361753518005</v>
      </c>
      <c r="BL124" s="9">
        <f t="shared" si="155"/>
        <v>-233.74184203420799</v>
      </c>
      <c r="BM124" s="9">
        <f t="shared" si="155"/>
        <v>-263.73269121362904</v>
      </c>
      <c r="BN124" s="9">
        <f t="shared" si="155"/>
        <v>-292.931432346181</v>
      </c>
      <c r="BO124" s="9">
        <f t="shared" si="155"/>
        <v>-321.35269732203</v>
      </c>
      <c r="BP124" s="9">
        <f t="shared" si="155"/>
        <v>-348.98710313415796</v>
      </c>
      <c r="BQ124" s="9">
        <f t="shared" si="155"/>
        <v>-389.09327673196998</v>
      </c>
      <c r="BR124" s="9">
        <f t="shared" si="155"/>
        <v>-429.67058273523895</v>
      </c>
      <c r="BS124" s="9">
        <f t="shared" si="155"/>
        <v>-470.59849219329595</v>
      </c>
      <c r="BT124" s="9">
        <f t="shared" si="155"/>
        <v>-511.85234401691997</v>
      </c>
      <c r="BU124" s="9">
        <f t="shared" si="155"/>
        <v>-553.30439744889691</v>
      </c>
      <c r="BV124" s="9">
        <f t="shared" si="155"/>
        <v>-594.93309693267906</v>
      </c>
      <c r="BW124" s="9">
        <f t="shared" si="155"/>
        <v>-636.77833281026301</v>
      </c>
      <c r="BX124" s="9">
        <f t="shared" si="155"/>
        <v>-678.82130411056301</v>
      </c>
      <c r="BY124" s="9">
        <f t="shared" si="155"/>
        <v>-721.10693323913301</v>
      </c>
    </row>
    <row r="125" spans="1:77" x14ac:dyDescent="0.2">
      <c r="A125" s="12"/>
      <c r="B125" s="4" t="s">
        <v>138</v>
      </c>
      <c r="C125" s="7">
        <v>0</v>
      </c>
      <c r="D125" s="7">
        <v>0</v>
      </c>
      <c r="E125" s="7">
        <v>0</v>
      </c>
      <c r="F125" s="7">
        <v>6.2294340552750702</v>
      </c>
      <c r="G125" s="7">
        <v>17.559824588325199</v>
      </c>
      <c r="H125" s="7">
        <v>33.194948462436599</v>
      </c>
      <c r="I125" s="7">
        <v>58.249141770172997</v>
      </c>
      <c r="J125" s="7">
        <v>88.3265964897044</v>
      </c>
      <c r="K125" s="7">
        <v>122.362808479707</v>
      </c>
      <c r="L125" s="7">
        <v>159.56329889469399</v>
      </c>
      <c r="M125" s="7">
        <v>199.27532381440699</v>
      </c>
      <c r="N125" s="7">
        <v>240.954233547863</v>
      </c>
      <c r="O125" s="7">
        <v>284.14275794636399</v>
      </c>
      <c r="P125" s="7">
        <v>328.456266422954</v>
      </c>
      <c r="Q125" s="7">
        <v>373.56481015576901</v>
      </c>
      <c r="R125" s="7">
        <v>419.18622414969201</v>
      </c>
      <c r="S125" s="7">
        <v>465.05316732637698</v>
      </c>
      <c r="T125" s="7">
        <v>512.27039600644798</v>
      </c>
      <c r="U125" s="7">
        <v>558.59140882496899</v>
      </c>
      <c r="V125" s="7">
        <v>604.39944178951703</v>
      </c>
      <c r="W125" s="7">
        <v>649.410271736151</v>
      </c>
      <c r="X125" s="7">
        <v>693.55435080299605</v>
      </c>
      <c r="Y125" s="7">
        <v>736.46840625542904</v>
      </c>
      <c r="Z125" s="7">
        <v>777.91490400960299</v>
      </c>
      <c r="AA125" s="7">
        <v>817.68502536092205</v>
      </c>
      <c r="AB125" s="7">
        <v>855.63576235007497</v>
      </c>
      <c r="AC125" s="7">
        <v>891.98366951796402</v>
      </c>
      <c r="AD125" s="7">
        <v>953.91372408948803</v>
      </c>
      <c r="AE125" s="7">
        <v>1045.1345233608599</v>
      </c>
      <c r="AF125" s="7">
        <v>1045.1345233608599</v>
      </c>
      <c r="AG125" s="7">
        <v>1045.1345233608599</v>
      </c>
      <c r="AH125" s="7">
        <v>1073.53202384567</v>
      </c>
      <c r="AI125" s="7">
        <v>1102.89569108257</v>
      </c>
      <c r="AJ125" s="7">
        <v>1129.55745244434</v>
      </c>
      <c r="AK125" s="7">
        <v>1152.5497624238001</v>
      </c>
      <c r="AL125" s="7">
        <v>1171.5064896563599</v>
      </c>
      <c r="AM125" s="7">
        <v>1187.15649952851</v>
      </c>
      <c r="AO125" s="9">
        <f t="shared" ref="AO125:BY125" si="156">+C125-C35</f>
        <v>0</v>
      </c>
      <c r="AP125" s="9">
        <f t="shared" si="156"/>
        <v>0</v>
      </c>
      <c r="AQ125" s="9">
        <f t="shared" si="156"/>
        <v>0</v>
      </c>
      <c r="AR125" s="9">
        <f t="shared" si="156"/>
        <v>6.2294340552750702</v>
      </c>
      <c r="AS125" s="9">
        <f t="shared" si="156"/>
        <v>17.559824588325199</v>
      </c>
      <c r="AT125" s="9">
        <f t="shared" si="156"/>
        <v>33.194948462436599</v>
      </c>
      <c r="AU125" s="9">
        <f t="shared" si="156"/>
        <v>58.249141770172997</v>
      </c>
      <c r="AV125" s="9">
        <f t="shared" si="156"/>
        <v>88.3265964897044</v>
      </c>
      <c r="AW125" s="9">
        <f t="shared" si="156"/>
        <v>122.362808479707</v>
      </c>
      <c r="AX125" s="9">
        <f t="shared" si="156"/>
        <v>159.56329889469399</v>
      </c>
      <c r="AY125" s="9">
        <f t="shared" si="156"/>
        <v>199.27532381440699</v>
      </c>
      <c r="AZ125" s="9">
        <f t="shared" si="156"/>
        <v>240.954233547863</v>
      </c>
      <c r="BA125" s="9">
        <f t="shared" si="156"/>
        <v>284.14275794636399</v>
      </c>
      <c r="BB125" s="9">
        <f t="shared" si="156"/>
        <v>328.456266422954</v>
      </c>
      <c r="BC125" s="9">
        <f t="shared" si="156"/>
        <v>373.56481015576901</v>
      </c>
      <c r="BD125" s="9">
        <f t="shared" si="156"/>
        <v>419.18622414969201</v>
      </c>
      <c r="BE125" s="9">
        <f t="shared" si="156"/>
        <v>465.05316732637698</v>
      </c>
      <c r="BF125" s="9">
        <f t="shared" si="156"/>
        <v>512.27039600644798</v>
      </c>
      <c r="BG125" s="9">
        <f t="shared" si="156"/>
        <v>558.59140882496899</v>
      </c>
      <c r="BH125" s="9">
        <f t="shared" si="156"/>
        <v>604.39944178951703</v>
      </c>
      <c r="BI125" s="9">
        <f t="shared" si="156"/>
        <v>649.410271736151</v>
      </c>
      <c r="BJ125" s="9">
        <f t="shared" si="156"/>
        <v>693.55435080299605</v>
      </c>
      <c r="BK125" s="9">
        <f t="shared" si="156"/>
        <v>736.46840625542904</v>
      </c>
      <c r="BL125" s="9">
        <f t="shared" si="156"/>
        <v>777.91490400960299</v>
      </c>
      <c r="BM125" s="9">
        <f t="shared" si="156"/>
        <v>817.68502536092205</v>
      </c>
      <c r="BN125" s="9">
        <f t="shared" si="156"/>
        <v>855.63576235007497</v>
      </c>
      <c r="BO125" s="9">
        <f t="shared" si="156"/>
        <v>891.98366951796402</v>
      </c>
      <c r="BP125" s="9">
        <f t="shared" si="156"/>
        <v>953.91372408948803</v>
      </c>
      <c r="BQ125" s="9">
        <f t="shared" si="156"/>
        <v>1045.1345233608599</v>
      </c>
      <c r="BR125" s="9">
        <f t="shared" si="156"/>
        <v>1045.1345233608599</v>
      </c>
      <c r="BS125" s="9">
        <f t="shared" si="156"/>
        <v>1045.1345233608599</v>
      </c>
      <c r="BT125" s="9">
        <f t="shared" si="156"/>
        <v>1073.53202384567</v>
      </c>
      <c r="BU125" s="9">
        <f t="shared" si="156"/>
        <v>1102.89569108257</v>
      </c>
      <c r="BV125" s="9">
        <f t="shared" si="156"/>
        <v>1129.55745244434</v>
      </c>
      <c r="BW125" s="9">
        <f t="shared" si="156"/>
        <v>1152.5497624238001</v>
      </c>
      <c r="BX125" s="9">
        <f t="shared" si="156"/>
        <v>1171.5064896563599</v>
      </c>
      <c r="BY125" s="9">
        <f t="shared" si="156"/>
        <v>1187.15649952851</v>
      </c>
    </row>
    <row r="126" spans="1:77" x14ac:dyDescent="0.2">
      <c r="A126" s="12"/>
      <c r="B126" s="4" t="s">
        <v>127</v>
      </c>
      <c r="C126" s="7">
        <v>224.08866198649201</v>
      </c>
      <c r="D126" s="7">
        <v>222.792027760444</v>
      </c>
      <c r="E126" s="7">
        <v>122.320266228051</v>
      </c>
      <c r="F126" s="7">
        <v>116.442838869612</v>
      </c>
      <c r="G126" s="7">
        <v>116.442838869612</v>
      </c>
      <c r="H126" s="7">
        <v>116.442838869612</v>
      </c>
      <c r="I126" s="7">
        <v>116.442838869612</v>
      </c>
      <c r="J126" s="7">
        <v>116.442838869612</v>
      </c>
      <c r="K126" s="7">
        <v>116.442838869612</v>
      </c>
      <c r="L126" s="7">
        <v>116.442838869612</v>
      </c>
      <c r="M126" s="7">
        <v>116.442838869612</v>
      </c>
      <c r="N126" s="7">
        <v>116.442838869612</v>
      </c>
      <c r="O126" s="7">
        <v>116.442838869612</v>
      </c>
      <c r="P126" s="7">
        <v>116.442838869612</v>
      </c>
      <c r="Q126" s="7">
        <v>116.442838869612</v>
      </c>
      <c r="R126" s="7">
        <v>116.442838869612</v>
      </c>
      <c r="S126" s="7">
        <v>116.442838869612</v>
      </c>
      <c r="T126" s="7">
        <v>116.442838869612</v>
      </c>
      <c r="U126" s="7">
        <v>116.442838869612</v>
      </c>
      <c r="V126" s="7">
        <v>116.442838869612</v>
      </c>
      <c r="W126" s="7">
        <v>116.442838869612</v>
      </c>
      <c r="X126" s="7">
        <v>119.644175367893</v>
      </c>
      <c r="Y126" s="7">
        <v>119.644175367893</v>
      </c>
      <c r="Z126" s="7">
        <v>121.522524595951</v>
      </c>
      <c r="AA126" s="7">
        <v>126.981549781905</v>
      </c>
      <c r="AB126" s="7">
        <v>126.981549781905</v>
      </c>
      <c r="AC126" s="7">
        <v>126.981549781905</v>
      </c>
      <c r="AD126" s="7">
        <v>126.981549781905</v>
      </c>
      <c r="AE126" s="7">
        <v>126.981549781905</v>
      </c>
      <c r="AF126" s="7">
        <v>126.981549781905</v>
      </c>
      <c r="AG126" s="7">
        <v>126.981549781905</v>
      </c>
      <c r="AH126" s="7">
        <v>126.981549781905</v>
      </c>
      <c r="AI126" s="7">
        <v>126.981549781905</v>
      </c>
      <c r="AJ126" s="7">
        <v>126.981549781905</v>
      </c>
      <c r="AK126" s="7">
        <v>126.981549781905</v>
      </c>
      <c r="AL126" s="7">
        <v>126.981549781905</v>
      </c>
      <c r="AM126" s="7">
        <v>126.981549781905</v>
      </c>
      <c r="AO126" s="9">
        <f t="shared" ref="AO126:BY126" si="157">+C126-C36</f>
        <v>0.18620315851902092</v>
      </c>
      <c r="AP126" s="9">
        <f t="shared" si="157"/>
        <v>0.35787951194100742</v>
      </c>
      <c r="AQ126" s="9">
        <f t="shared" si="157"/>
        <v>1.7475253148119947</v>
      </c>
      <c r="AR126" s="9">
        <f t="shared" si="157"/>
        <v>1.6370054759630079</v>
      </c>
      <c r="AS126" s="9">
        <f t="shared" si="157"/>
        <v>1.6370054759630079</v>
      </c>
      <c r="AT126" s="9">
        <f t="shared" si="157"/>
        <v>1.6370054759630079</v>
      </c>
      <c r="AU126" s="9">
        <f t="shared" si="157"/>
        <v>1.6370054759630079</v>
      </c>
      <c r="AV126" s="9">
        <f t="shared" si="157"/>
        <v>1.6370054759630079</v>
      </c>
      <c r="AW126" s="9">
        <f t="shared" si="157"/>
        <v>1.6370054759630079</v>
      </c>
      <c r="AX126" s="9">
        <f t="shared" si="157"/>
        <v>1.6370054759630079</v>
      </c>
      <c r="AY126" s="9">
        <f t="shared" si="157"/>
        <v>1.6370054759630079</v>
      </c>
      <c r="AZ126" s="9">
        <f t="shared" si="157"/>
        <v>1.6370054759630079</v>
      </c>
      <c r="BA126" s="9">
        <f t="shared" si="157"/>
        <v>1.6370054759630079</v>
      </c>
      <c r="BB126" s="9">
        <f t="shared" si="157"/>
        <v>1.6370054759630079</v>
      </c>
      <c r="BC126" s="9">
        <f t="shared" si="157"/>
        <v>1.6370054759630079</v>
      </c>
      <c r="BD126" s="9">
        <f t="shared" si="157"/>
        <v>1.6370054759630079</v>
      </c>
      <c r="BE126" s="9">
        <f t="shared" si="157"/>
        <v>1.6370054759630079</v>
      </c>
      <c r="BF126" s="9">
        <f t="shared" si="157"/>
        <v>1.6370054759630079</v>
      </c>
      <c r="BG126" s="9">
        <f t="shared" si="157"/>
        <v>1.6370054759630079</v>
      </c>
      <c r="BH126" s="9">
        <f t="shared" si="157"/>
        <v>1.6370054759630079</v>
      </c>
      <c r="BI126" s="9">
        <f t="shared" si="157"/>
        <v>1.6370054759630079</v>
      </c>
      <c r="BJ126" s="9">
        <f t="shared" si="157"/>
        <v>4.8383419742440026</v>
      </c>
      <c r="BK126" s="9">
        <f t="shared" si="157"/>
        <v>17.895857291745003</v>
      </c>
      <c r="BL126" s="9">
        <f t="shared" si="157"/>
        <v>19.774206519803002</v>
      </c>
      <c r="BM126" s="9">
        <f t="shared" si="157"/>
        <v>25.233231705757007</v>
      </c>
      <c r="BN126" s="9">
        <f t="shared" si="157"/>
        <v>25.233231705757007</v>
      </c>
      <c r="BO126" s="9">
        <f t="shared" si="157"/>
        <v>25.233231705757007</v>
      </c>
      <c r="BP126" s="9">
        <f t="shared" si="157"/>
        <v>25.233231705757007</v>
      </c>
      <c r="BQ126" s="9">
        <f t="shared" si="157"/>
        <v>25.233231705757007</v>
      </c>
      <c r="BR126" s="9">
        <f t="shared" si="157"/>
        <v>25.233231705757007</v>
      </c>
      <c r="BS126" s="9">
        <f t="shared" si="157"/>
        <v>25.233231705757007</v>
      </c>
      <c r="BT126" s="9">
        <f t="shared" si="157"/>
        <v>25.233231705757007</v>
      </c>
      <c r="BU126" s="9">
        <f t="shared" si="157"/>
        <v>25.233231705757007</v>
      </c>
      <c r="BV126" s="9">
        <f t="shared" si="157"/>
        <v>25.233231705757007</v>
      </c>
      <c r="BW126" s="9">
        <f t="shared" si="157"/>
        <v>25.233231705757007</v>
      </c>
      <c r="BX126" s="9">
        <f t="shared" si="157"/>
        <v>25.233231705757007</v>
      </c>
      <c r="BY126" s="9">
        <f t="shared" si="157"/>
        <v>25.233231705757007</v>
      </c>
    </row>
    <row r="127" spans="1:77" x14ac:dyDescent="0.2">
      <c r="A127" s="12"/>
      <c r="B127" s="4" t="s">
        <v>121</v>
      </c>
      <c r="C127" s="7">
        <v>816.29370210267405</v>
      </c>
      <c r="D127" s="7">
        <v>633.54845850644404</v>
      </c>
      <c r="E127" s="7">
        <v>636.77288334489003</v>
      </c>
      <c r="F127" s="7">
        <v>628.85374853598</v>
      </c>
      <c r="G127" s="7">
        <v>621.16242609931498</v>
      </c>
      <c r="H127" s="7">
        <v>613.46192483186599</v>
      </c>
      <c r="I127" s="7">
        <v>607.47347283797205</v>
      </c>
      <c r="J127" s="7">
        <v>601.42735740782496</v>
      </c>
      <c r="K127" s="7">
        <v>595.12397168905397</v>
      </c>
      <c r="L127" s="7">
        <v>588.631823271342</v>
      </c>
      <c r="M127" s="7">
        <v>581.904640692307</v>
      </c>
      <c r="N127" s="7">
        <v>574.91243382836399</v>
      </c>
      <c r="O127" s="7">
        <v>567.65020417529695</v>
      </c>
      <c r="P127" s="7">
        <v>560.07425207384495</v>
      </c>
      <c r="Q127" s="7">
        <v>552.20787932961298</v>
      </c>
      <c r="R127" s="7">
        <v>447.52535638924797</v>
      </c>
      <c r="S127" s="7">
        <v>439.02474851941201</v>
      </c>
      <c r="T127" s="7">
        <v>238.60173043460901</v>
      </c>
      <c r="U127" s="7">
        <v>229.240273621874</v>
      </c>
      <c r="V127" s="7">
        <v>219.40093218637301</v>
      </c>
      <c r="W127" s="7">
        <v>209.071536288603</v>
      </c>
      <c r="X127" s="7">
        <v>157.50193801047601</v>
      </c>
      <c r="Y127" s="7">
        <v>146.252659145519</v>
      </c>
      <c r="Z127" s="7">
        <v>134.546321060525</v>
      </c>
      <c r="AA127" s="7">
        <v>122.407485598364</v>
      </c>
      <c r="AB127" s="7">
        <v>109.866644419324</v>
      </c>
      <c r="AC127" s="7">
        <v>96.952530320758598</v>
      </c>
      <c r="AD127" s="7">
        <v>83.686069653504305</v>
      </c>
      <c r="AE127" s="7">
        <v>70.119123148078998</v>
      </c>
      <c r="AF127" s="7">
        <v>56.190968353145102</v>
      </c>
      <c r="AG127" s="7">
        <v>41.946528227938103</v>
      </c>
      <c r="AH127" s="7">
        <v>41.946528227938103</v>
      </c>
      <c r="AI127" s="7">
        <v>41.946528227938103</v>
      </c>
      <c r="AJ127" s="7">
        <v>41.946528227938103</v>
      </c>
      <c r="AK127" s="7">
        <v>41.946528227938103</v>
      </c>
      <c r="AL127" s="7">
        <v>41.946528227938103</v>
      </c>
      <c r="AM127" s="7">
        <v>41.946528227938103</v>
      </c>
      <c r="AO127" s="9">
        <f t="shared" ref="AO127:BY127" si="158">+C127-C37</f>
        <v>2.1650083144710379</v>
      </c>
      <c r="AP127" s="9">
        <f t="shared" si="158"/>
        <v>2.5401725686110694</v>
      </c>
      <c r="AQ127" s="9">
        <f t="shared" si="158"/>
        <v>3.7998927263599853</v>
      </c>
      <c r="AR127" s="9">
        <f t="shared" si="158"/>
        <v>-4.7644612618579458</v>
      </c>
      <c r="AS127" s="9">
        <f t="shared" si="158"/>
        <v>-13.388085290225035</v>
      </c>
      <c r="AT127" s="9">
        <f t="shared" si="158"/>
        <v>-22.098462562407008</v>
      </c>
      <c r="AU127" s="9">
        <f t="shared" si="158"/>
        <v>-31.519834533154949</v>
      </c>
      <c r="AV127" s="9">
        <f t="shared" si="158"/>
        <v>-41.296832290334009</v>
      </c>
      <c r="AW127" s="9">
        <f t="shared" si="158"/>
        <v>-51.531750991562035</v>
      </c>
      <c r="AX127" s="9">
        <f t="shared" si="158"/>
        <v>-62.259663528775036</v>
      </c>
      <c r="AY127" s="9">
        <f t="shared" si="158"/>
        <v>-73.547804886391987</v>
      </c>
      <c r="AZ127" s="9">
        <f t="shared" si="158"/>
        <v>-85.419121971082063</v>
      </c>
      <c r="BA127" s="9">
        <f t="shared" si="158"/>
        <v>-97.922770730538105</v>
      </c>
      <c r="BB127" s="9">
        <f t="shared" si="158"/>
        <v>-111.08214021693402</v>
      </c>
      <c r="BC127" s="9">
        <f t="shared" si="158"/>
        <v>-124.96173752715606</v>
      </c>
      <c r="BD127" s="9">
        <f t="shared" si="158"/>
        <v>-139.59719237036001</v>
      </c>
      <c r="BE127" s="9">
        <f t="shared" si="158"/>
        <v>-155.03180778414094</v>
      </c>
      <c r="BF127" s="9">
        <f t="shared" si="158"/>
        <v>-207.31381065564699</v>
      </c>
      <c r="BG127" s="9">
        <f t="shared" si="158"/>
        <v>-227.064396921514</v>
      </c>
      <c r="BH127" s="9">
        <f t="shared" si="158"/>
        <v>-247.65398772046697</v>
      </c>
      <c r="BI127" s="9">
        <f t="shared" si="158"/>
        <v>-269.02350403821202</v>
      </c>
      <c r="BJ127" s="9">
        <f t="shared" si="158"/>
        <v>-331.94463161298899</v>
      </c>
      <c r="BK127" s="9">
        <f t="shared" si="158"/>
        <v>-354.88042086471899</v>
      </c>
      <c r="BL127" s="9">
        <f t="shared" si="158"/>
        <v>-378.61926440135107</v>
      </c>
      <c r="BM127" s="9">
        <f t="shared" si="158"/>
        <v>-403.12637499487096</v>
      </c>
      <c r="BN127" s="9">
        <f t="shared" si="158"/>
        <v>-428.39383375167603</v>
      </c>
      <c r="BO127" s="9">
        <f t="shared" si="158"/>
        <v>-454.32070613220048</v>
      </c>
      <c r="BP127" s="9">
        <f t="shared" si="158"/>
        <v>-481.05757715359573</v>
      </c>
      <c r="BQ127" s="9">
        <f t="shared" si="158"/>
        <v>-509.60554687963599</v>
      </c>
      <c r="BR127" s="9">
        <f t="shared" si="158"/>
        <v>-538.68074015541993</v>
      </c>
      <c r="BS127" s="9">
        <f t="shared" si="158"/>
        <v>-569.15717408063188</v>
      </c>
      <c r="BT127" s="9">
        <f t="shared" si="158"/>
        <v>-592.6104362471699</v>
      </c>
      <c r="BU127" s="9">
        <f t="shared" si="158"/>
        <v>-610.14336603437891</v>
      </c>
      <c r="BV127" s="9">
        <f t="shared" si="158"/>
        <v>-625.34525387888198</v>
      </c>
      <c r="BW127" s="9">
        <f t="shared" si="158"/>
        <v>-638.00688578878987</v>
      </c>
      <c r="BX127" s="9">
        <f t="shared" si="158"/>
        <v>-655.93092412851695</v>
      </c>
      <c r="BY127" s="9">
        <f t="shared" si="158"/>
        <v>-667.13465234560692</v>
      </c>
    </row>
    <row r="128" spans="1:77" x14ac:dyDescent="0.2">
      <c r="A128" s="12"/>
      <c r="B128" s="4" t="s">
        <v>126</v>
      </c>
      <c r="C128" s="7">
        <v>925.87697592269103</v>
      </c>
      <c r="D128" s="7">
        <v>911.04341800443103</v>
      </c>
      <c r="E128" s="7">
        <v>891.50785732439294</v>
      </c>
      <c r="F128" s="7">
        <v>866.22892145798005</v>
      </c>
      <c r="G128" s="7">
        <v>847.15082945560505</v>
      </c>
      <c r="H128" s="7">
        <v>828.508481715568</v>
      </c>
      <c r="I128" s="7">
        <v>810.29192580856204</v>
      </c>
      <c r="J128" s="7">
        <v>792.49143660464904</v>
      </c>
      <c r="K128" s="7">
        <v>775.09751122216801</v>
      </c>
      <c r="L128" s="7">
        <v>758.10086347152799</v>
      </c>
      <c r="M128" s="7">
        <v>741.49241981432795</v>
      </c>
      <c r="N128" s="7">
        <v>725.26331330203902</v>
      </c>
      <c r="O128" s="7">
        <v>708.58625257836695</v>
      </c>
      <c r="P128" s="7">
        <v>693.10872415845904</v>
      </c>
      <c r="Q128" s="7">
        <v>666.52035801325701</v>
      </c>
      <c r="R128" s="7">
        <v>652.00361605144496</v>
      </c>
      <c r="S128" s="7">
        <v>637.81843673672597</v>
      </c>
      <c r="T128" s="7">
        <v>623.95724739290699</v>
      </c>
      <c r="U128" s="7">
        <v>609.95654787508397</v>
      </c>
      <c r="V128" s="7">
        <v>596.73172488866396</v>
      </c>
      <c r="W128" s="7">
        <v>583.80895751197897</v>
      </c>
      <c r="X128" s="7">
        <v>571.07052414630903</v>
      </c>
      <c r="Y128" s="7">
        <v>557.65095039152095</v>
      </c>
      <c r="Z128" s="7">
        <v>545.62078916609903</v>
      </c>
      <c r="AA128" s="7">
        <v>533.74131610862798</v>
      </c>
      <c r="AB128" s="7">
        <v>522.19258659072204</v>
      </c>
      <c r="AC128" s="7">
        <v>510.97229534667599</v>
      </c>
      <c r="AD128" s="7">
        <v>500.00827602659302</v>
      </c>
      <c r="AE128" s="7">
        <v>500.00827602659302</v>
      </c>
      <c r="AF128" s="7">
        <v>500.00827602659302</v>
      </c>
      <c r="AG128" s="7">
        <v>500.00827602659302</v>
      </c>
      <c r="AH128" s="7">
        <v>500.00827602659302</v>
      </c>
      <c r="AI128" s="7">
        <v>500.00827602659302</v>
      </c>
      <c r="AJ128" s="7">
        <v>500.00827602659302</v>
      </c>
      <c r="AK128" s="7">
        <v>500.00827602659302</v>
      </c>
      <c r="AL128" s="7">
        <v>500.00827602659302</v>
      </c>
      <c r="AM128" s="7">
        <v>500.00827602659302</v>
      </c>
      <c r="AO128" s="9">
        <f t="shared" ref="AO128:BY128" si="159">+C128-C38</f>
        <v>0.14886998901806692</v>
      </c>
      <c r="AP128" s="9">
        <f t="shared" si="159"/>
        <v>0.35041951917105507</v>
      </c>
      <c r="AQ128" s="9">
        <f t="shared" si="159"/>
        <v>0.52419926052596111</v>
      </c>
      <c r="AR128" s="9">
        <f t="shared" si="159"/>
        <v>0.41598316664601498</v>
      </c>
      <c r="AS128" s="9">
        <f t="shared" si="159"/>
        <v>0.41598316664601498</v>
      </c>
      <c r="AT128" s="9">
        <f t="shared" si="159"/>
        <v>0.4159831666449918</v>
      </c>
      <c r="AU128" s="9">
        <f t="shared" si="159"/>
        <v>0.41598316664601498</v>
      </c>
      <c r="AV128" s="9">
        <f t="shared" si="159"/>
        <v>0.4159831666449918</v>
      </c>
      <c r="AW128" s="9">
        <f t="shared" si="159"/>
        <v>0.4159831666449918</v>
      </c>
      <c r="AX128" s="9">
        <f t="shared" si="159"/>
        <v>0.4159831666449918</v>
      </c>
      <c r="AY128" s="9">
        <f t="shared" si="159"/>
        <v>0.41598316664590129</v>
      </c>
      <c r="AZ128" s="9">
        <f t="shared" si="159"/>
        <v>0.4159831666449918</v>
      </c>
      <c r="BA128" s="9">
        <f t="shared" si="159"/>
        <v>0.4159831666449918</v>
      </c>
      <c r="BB128" s="9">
        <f t="shared" si="159"/>
        <v>0.4159831666449918</v>
      </c>
      <c r="BC128" s="9">
        <f t="shared" si="159"/>
        <v>0.41598316664601498</v>
      </c>
      <c r="BD128" s="9">
        <f t="shared" si="159"/>
        <v>0.41598316664601498</v>
      </c>
      <c r="BE128" s="9">
        <f t="shared" si="159"/>
        <v>0.41598316664601498</v>
      </c>
      <c r="BF128" s="9">
        <f t="shared" si="159"/>
        <v>-54.308456989318984</v>
      </c>
      <c r="BG128" s="9">
        <f t="shared" si="159"/>
        <v>-70.146972033879024</v>
      </c>
      <c r="BH128" s="9">
        <f t="shared" si="159"/>
        <v>-89.216312379851047</v>
      </c>
      <c r="BI128" s="9">
        <f t="shared" si="159"/>
        <v>-95.59900036000397</v>
      </c>
      <c r="BJ128" s="9">
        <f t="shared" si="159"/>
        <v>-102.18227174370395</v>
      </c>
      <c r="BK128" s="9">
        <f t="shared" si="159"/>
        <v>-112.18503896570803</v>
      </c>
      <c r="BL128" s="9">
        <f t="shared" si="159"/>
        <v>-118.34465460984802</v>
      </c>
      <c r="BM128" s="9">
        <f t="shared" si="159"/>
        <v>-124.26141057064604</v>
      </c>
      <c r="BN128" s="9">
        <f t="shared" si="159"/>
        <v>-129.80344005113193</v>
      </c>
      <c r="BO128" s="9">
        <f t="shared" si="159"/>
        <v>-135.26137311446701</v>
      </c>
      <c r="BP128" s="9">
        <f t="shared" si="159"/>
        <v>-140.58740330086192</v>
      </c>
      <c r="BQ128" s="9">
        <f t="shared" si="159"/>
        <v>-149.88802006581892</v>
      </c>
      <c r="BR128" s="9">
        <f t="shared" si="159"/>
        <v>-159.28947689671401</v>
      </c>
      <c r="BS128" s="9">
        <f t="shared" si="159"/>
        <v>-168.451358552248</v>
      </c>
      <c r="BT128" s="9">
        <f t="shared" si="159"/>
        <v>-168.451358552248</v>
      </c>
      <c r="BU128" s="9">
        <f t="shared" si="159"/>
        <v>-168.451358552248</v>
      </c>
      <c r="BV128" s="9">
        <f t="shared" si="159"/>
        <v>-168.451358552248</v>
      </c>
      <c r="BW128" s="9">
        <f t="shared" si="159"/>
        <v>-168.451358552248</v>
      </c>
      <c r="BX128" s="9">
        <f t="shared" si="159"/>
        <v>-168.451358552248</v>
      </c>
      <c r="BY128" s="9">
        <f t="shared" si="159"/>
        <v>-168.451358552248</v>
      </c>
    </row>
    <row r="129" spans="1:77" x14ac:dyDescent="0.2">
      <c r="A129" s="12"/>
      <c r="B129" s="4" t="s">
        <v>130</v>
      </c>
      <c r="C129" s="7">
        <v>111.45373811118399</v>
      </c>
      <c r="D129" s="7">
        <v>121.069619764165</v>
      </c>
      <c r="E129" s="7">
        <v>120.19193745192</v>
      </c>
      <c r="F129" s="7">
        <v>139.02025847281101</v>
      </c>
      <c r="G129" s="7">
        <v>157.81387873868499</v>
      </c>
      <c r="H129" s="7">
        <v>176.07919605653399</v>
      </c>
      <c r="I129" s="7">
        <v>195.28836605931301</v>
      </c>
      <c r="J129" s="7">
        <v>239.28569552519301</v>
      </c>
      <c r="K129" s="7">
        <v>283.20943639084902</v>
      </c>
      <c r="L129" s="7">
        <v>276.86183853663402</v>
      </c>
      <c r="M129" s="7">
        <v>270.53830542153099</v>
      </c>
      <c r="N129" s="7">
        <v>289.39667889615203</v>
      </c>
      <c r="O129" s="7">
        <v>307.19637718640899</v>
      </c>
      <c r="P129" s="7">
        <v>325.279830127487</v>
      </c>
      <c r="Q129" s="7">
        <v>343.25814812005098</v>
      </c>
      <c r="R129" s="7">
        <v>361.16464739477101</v>
      </c>
      <c r="S129" s="7">
        <v>384.27834438811499</v>
      </c>
      <c r="T129" s="7">
        <v>402.092491268027</v>
      </c>
      <c r="U129" s="7">
        <v>423.99244418695901</v>
      </c>
      <c r="V129" s="7">
        <v>445.26715947344002</v>
      </c>
      <c r="W129" s="7">
        <v>467.40298638906398</v>
      </c>
      <c r="X129" s="7">
        <v>504.67638632212697</v>
      </c>
      <c r="Y129" s="7">
        <v>536.14529944195397</v>
      </c>
      <c r="Z129" s="7">
        <v>568.80916011421198</v>
      </c>
      <c r="AA129" s="7">
        <v>605.14494562196705</v>
      </c>
      <c r="AB129" s="7">
        <v>651.11599470285205</v>
      </c>
      <c r="AC129" s="7">
        <v>694.10565759402198</v>
      </c>
      <c r="AD129" s="7">
        <v>732.55761879082399</v>
      </c>
      <c r="AE129" s="7">
        <v>785.68408583475298</v>
      </c>
      <c r="AF129" s="7">
        <v>843.12542571545896</v>
      </c>
      <c r="AG129" s="7">
        <v>905.20721868139901</v>
      </c>
      <c r="AH129" s="7">
        <v>970.80335535377606</v>
      </c>
      <c r="AI129" s="7">
        <v>1034.8754406671601</v>
      </c>
      <c r="AJ129" s="7">
        <v>1097.6701585508299</v>
      </c>
      <c r="AK129" s="7">
        <v>1158.5544785305599</v>
      </c>
      <c r="AL129" s="7">
        <v>1217.27099175223</v>
      </c>
      <c r="AM129" s="7">
        <v>1274.5647074944</v>
      </c>
      <c r="AO129" s="9">
        <f t="shared" ref="AO129:BY129" si="160">+C129-C39</f>
        <v>2.278169972669275E-7</v>
      </c>
      <c r="AP129" s="9">
        <f t="shared" si="160"/>
        <v>1.1704401121779995</v>
      </c>
      <c r="AQ129" s="9">
        <f t="shared" si="160"/>
        <v>2.1466548001439918</v>
      </c>
      <c r="AR129" s="9">
        <f t="shared" si="160"/>
        <v>22.977081179429007</v>
      </c>
      <c r="AS129" s="9">
        <f t="shared" si="160"/>
        <v>44.421131279319994</v>
      </c>
      <c r="AT129" s="9">
        <f t="shared" si="160"/>
        <v>64.85209756918799</v>
      </c>
      <c r="AU129" s="9">
        <f t="shared" si="160"/>
        <v>85.192480635116013</v>
      </c>
      <c r="AV129" s="9">
        <f t="shared" si="160"/>
        <v>126.829918684719</v>
      </c>
      <c r="AW129" s="9">
        <f t="shared" si="160"/>
        <v>168.25077709633103</v>
      </c>
      <c r="AX129" s="9">
        <f t="shared" si="160"/>
        <v>159.81332072095302</v>
      </c>
      <c r="AY129" s="9">
        <f t="shared" si="160"/>
        <v>150.15713774902201</v>
      </c>
      <c r="AZ129" s="9">
        <f t="shared" si="160"/>
        <v>171.03677215917602</v>
      </c>
      <c r="BA129" s="9">
        <f t="shared" si="160"/>
        <v>190.761574219496</v>
      </c>
      <c r="BB129" s="9">
        <f t="shared" si="160"/>
        <v>211.03647060972202</v>
      </c>
      <c r="BC129" s="9">
        <f t="shared" si="160"/>
        <v>231.62411054502897</v>
      </c>
      <c r="BD129" s="9">
        <f t="shared" si="160"/>
        <v>252.08033477062301</v>
      </c>
      <c r="BE129" s="9">
        <f t="shared" si="160"/>
        <v>277.68552089725097</v>
      </c>
      <c r="BF129" s="9">
        <f t="shared" si="160"/>
        <v>297.93425123680402</v>
      </c>
      <c r="BG129" s="9">
        <f t="shared" si="160"/>
        <v>319.84188520183301</v>
      </c>
      <c r="BH129" s="9">
        <f t="shared" si="160"/>
        <v>341.09772433382602</v>
      </c>
      <c r="BI129" s="9">
        <f t="shared" si="160"/>
        <v>363.20669461339997</v>
      </c>
      <c r="BJ129" s="9">
        <f t="shared" si="160"/>
        <v>400.44248800472599</v>
      </c>
      <c r="BK129" s="9">
        <f t="shared" si="160"/>
        <v>431.86015908435598</v>
      </c>
      <c r="BL129" s="9">
        <f t="shared" si="160"/>
        <v>464.471780208214</v>
      </c>
      <c r="BM129" s="9">
        <f t="shared" si="160"/>
        <v>500.75101349906004</v>
      </c>
      <c r="BN129" s="9">
        <f t="shared" si="160"/>
        <v>546.6506409842591</v>
      </c>
      <c r="BO129" s="9">
        <f t="shared" si="160"/>
        <v>589.54045233055103</v>
      </c>
      <c r="BP129" s="9">
        <f t="shared" si="160"/>
        <v>627.81986181179298</v>
      </c>
      <c r="BQ129" s="9">
        <f t="shared" si="160"/>
        <v>678.12629903531797</v>
      </c>
      <c r="BR129" s="9">
        <f t="shared" si="160"/>
        <v>732.71624339391701</v>
      </c>
      <c r="BS129" s="9">
        <f t="shared" si="160"/>
        <v>792.10338091824997</v>
      </c>
      <c r="BT129" s="9">
        <f t="shared" si="160"/>
        <v>854.87261274072603</v>
      </c>
      <c r="BU129" s="9">
        <f t="shared" si="160"/>
        <v>913.90480313729313</v>
      </c>
      <c r="BV129" s="9">
        <f t="shared" si="160"/>
        <v>970.8488599184119</v>
      </c>
      <c r="BW129" s="9">
        <f t="shared" si="160"/>
        <v>1025.6675413251569</v>
      </c>
      <c r="BX129" s="9">
        <f t="shared" si="160"/>
        <v>1082.157164722423</v>
      </c>
      <c r="BY129" s="9">
        <f t="shared" si="160"/>
        <v>1134.391198573458</v>
      </c>
    </row>
    <row r="130" spans="1:77" x14ac:dyDescent="0.2">
      <c r="A130" s="12"/>
      <c r="B130" s="4" t="s">
        <v>124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O130" s="9">
        <f t="shared" ref="AO130:BY130" si="161">+C130-C40</f>
        <v>0</v>
      </c>
      <c r="AP130" s="9">
        <f t="shared" si="161"/>
        <v>0</v>
      </c>
      <c r="AQ130" s="9">
        <f t="shared" si="161"/>
        <v>0</v>
      </c>
      <c r="AR130" s="9">
        <f t="shared" si="161"/>
        <v>0</v>
      </c>
      <c r="AS130" s="9">
        <f t="shared" si="161"/>
        <v>0</v>
      </c>
      <c r="AT130" s="9">
        <f t="shared" si="161"/>
        <v>0</v>
      </c>
      <c r="AU130" s="9">
        <f t="shared" si="161"/>
        <v>0</v>
      </c>
      <c r="AV130" s="9">
        <f t="shared" si="161"/>
        <v>0</v>
      </c>
      <c r="AW130" s="9">
        <f t="shared" si="161"/>
        <v>0</v>
      </c>
      <c r="AX130" s="9">
        <f t="shared" si="161"/>
        <v>0</v>
      </c>
      <c r="AY130" s="9">
        <f t="shared" si="161"/>
        <v>0</v>
      </c>
      <c r="AZ130" s="9">
        <f t="shared" si="161"/>
        <v>0</v>
      </c>
      <c r="BA130" s="9">
        <f t="shared" si="161"/>
        <v>0</v>
      </c>
      <c r="BB130" s="9">
        <f t="shared" si="161"/>
        <v>0</v>
      </c>
      <c r="BC130" s="9">
        <f t="shared" si="161"/>
        <v>0</v>
      </c>
      <c r="BD130" s="9">
        <f t="shared" si="161"/>
        <v>0</v>
      </c>
      <c r="BE130" s="9">
        <f t="shared" si="161"/>
        <v>0</v>
      </c>
      <c r="BF130" s="9">
        <f t="shared" si="161"/>
        <v>0</v>
      </c>
      <c r="BG130" s="9">
        <f t="shared" si="161"/>
        <v>0</v>
      </c>
      <c r="BH130" s="9">
        <f t="shared" si="161"/>
        <v>0</v>
      </c>
      <c r="BI130" s="9">
        <f t="shared" si="161"/>
        <v>0</v>
      </c>
      <c r="BJ130" s="9">
        <f t="shared" si="161"/>
        <v>0</v>
      </c>
      <c r="BK130" s="9">
        <f t="shared" si="161"/>
        <v>0</v>
      </c>
      <c r="BL130" s="9">
        <f t="shared" si="161"/>
        <v>0</v>
      </c>
      <c r="BM130" s="9">
        <f t="shared" si="161"/>
        <v>0</v>
      </c>
      <c r="BN130" s="9">
        <f t="shared" si="161"/>
        <v>0</v>
      </c>
      <c r="BO130" s="9">
        <f t="shared" si="161"/>
        <v>0</v>
      </c>
      <c r="BP130" s="9">
        <f t="shared" si="161"/>
        <v>0</v>
      </c>
      <c r="BQ130" s="9">
        <f t="shared" si="161"/>
        <v>0</v>
      </c>
      <c r="BR130" s="9">
        <f t="shared" si="161"/>
        <v>0</v>
      </c>
      <c r="BS130" s="9">
        <f t="shared" si="161"/>
        <v>0</v>
      </c>
      <c r="BT130" s="9">
        <f t="shared" si="161"/>
        <v>0</v>
      </c>
      <c r="BU130" s="9">
        <f t="shared" si="161"/>
        <v>0</v>
      </c>
      <c r="BV130" s="9">
        <f t="shared" si="161"/>
        <v>0</v>
      </c>
      <c r="BW130" s="9">
        <f t="shared" si="161"/>
        <v>0</v>
      </c>
      <c r="BX130" s="9">
        <f t="shared" si="161"/>
        <v>0</v>
      </c>
      <c r="BY130" s="9">
        <f t="shared" si="161"/>
        <v>0</v>
      </c>
    </row>
    <row r="131" spans="1:77" x14ac:dyDescent="0.2">
      <c r="A131" s="12"/>
      <c r="B131" s="4" t="s">
        <v>132</v>
      </c>
      <c r="C131" s="7">
        <v>287.673332931765</v>
      </c>
      <c r="D131" s="7">
        <v>355.52792084412602</v>
      </c>
      <c r="E131" s="7">
        <v>351.67091804722901</v>
      </c>
      <c r="F131" s="7">
        <v>494.66799286846202</v>
      </c>
      <c r="G131" s="7">
        <v>499.47692089511401</v>
      </c>
      <c r="H131" s="7">
        <v>582.80721504109601</v>
      </c>
      <c r="I131" s="7">
        <v>627.49778979974303</v>
      </c>
      <c r="J131" s="7">
        <v>608.00736025544097</v>
      </c>
      <c r="K131" s="7">
        <v>588.74387358655702</v>
      </c>
      <c r="L131" s="7">
        <v>696.73856803307297</v>
      </c>
      <c r="M131" s="7">
        <v>806.01121373072999</v>
      </c>
      <c r="N131" s="7">
        <v>848.160900810106</v>
      </c>
      <c r="O131" s="7">
        <v>905.97592850739102</v>
      </c>
      <c r="P131" s="7">
        <v>961.83540962051404</v>
      </c>
      <c r="Q131" s="7">
        <v>1022.19555402982</v>
      </c>
      <c r="R131" s="7">
        <v>1108.2946590438</v>
      </c>
      <c r="S131" s="7">
        <v>1186.2853247855201</v>
      </c>
      <c r="T131" s="7">
        <v>1498.9372879627299</v>
      </c>
      <c r="U131" s="7">
        <v>1558.37450733217</v>
      </c>
      <c r="V131" s="7">
        <v>1569.1105846233299</v>
      </c>
      <c r="W131" s="7">
        <v>1538.56337103695</v>
      </c>
      <c r="X131" s="7">
        <v>1551.2019354194399</v>
      </c>
      <c r="Y131" s="7">
        <v>1691.75437457055</v>
      </c>
      <c r="Z131" s="7">
        <v>1665.77583158725</v>
      </c>
      <c r="AA131" s="7">
        <v>1647.00002491243</v>
      </c>
      <c r="AB131" s="7">
        <v>1694.27228729065</v>
      </c>
      <c r="AC131" s="7">
        <v>1668.9946391325</v>
      </c>
      <c r="AD131" s="7">
        <v>1731.95078503733</v>
      </c>
      <c r="AE131" s="7">
        <v>1817.91678595962</v>
      </c>
      <c r="AF131" s="7">
        <v>1978.00635392505</v>
      </c>
      <c r="AG131" s="7">
        <v>2338.2742563991701</v>
      </c>
      <c r="AH131" s="7">
        <v>2301.9149864483702</v>
      </c>
      <c r="AI131" s="7">
        <v>2262.4385107099902</v>
      </c>
      <c r="AJ131" s="7">
        <v>2220.0553161000598</v>
      </c>
      <c r="AK131" s="7">
        <v>2177.67745330453</v>
      </c>
      <c r="AL131" s="7">
        <v>2145.27964534797</v>
      </c>
      <c r="AM131" s="7">
        <v>2095.8133067264998</v>
      </c>
      <c r="AO131" s="9">
        <f t="shared" ref="AO131:BY131" si="162">+C131-C41</f>
        <v>5.8862701735051814E-7</v>
      </c>
      <c r="AP131" s="9">
        <f t="shared" si="162"/>
        <v>3.4370648918030042</v>
      </c>
      <c r="AQ131" s="9">
        <f t="shared" si="162"/>
        <v>5.0241374607940088</v>
      </c>
      <c r="AR131" s="9">
        <f t="shared" si="162"/>
        <v>92.091480238132021</v>
      </c>
      <c r="AS131" s="9">
        <f t="shared" si="162"/>
        <v>115.331271983813</v>
      </c>
      <c r="AT131" s="9">
        <f t="shared" si="162"/>
        <v>167.54624054594103</v>
      </c>
      <c r="AU131" s="9">
        <f t="shared" si="162"/>
        <v>218.49714888952406</v>
      </c>
      <c r="AV131" s="9">
        <f t="shared" si="162"/>
        <v>213.50666711777995</v>
      </c>
      <c r="AW131" s="9">
        <f t="shared" si="162"/>
        <v>208.63016809375802</v>
      </c>
      <c r="AX131" s="9">
        <f t="shared" si="162"/>
        <v>326.58148542355696</v>
      </c>
      <c r="AY131" s="9">
        <f t="shared" si="162"/>
        <v>450.49236335663801</v>
      </c>
      <c r="AZ131" s="9">
        <f t="shared" si="162"/>
        <v>493.433318448725</v>
      </c>
      <c r="BA131" s="9">
        <f t="shared" si="162"/>
        <v>551.61169300418396</v>
      </c>
      <c r="BB131" s="9">
        <f t="shared" si="162"/>
        <v>606.945973319009</v>
      </c>
      <c r="BC131" s="9">
        <f t="shared" si="162"/>
        <v>665.28026832039404</v>
      </c>
      <c r="BD131" s="9">
        <f t="shared" si="162"/>
        <v>748.29486501312908</v>
      </c>
      <c r="BE131" s="9">
        <f t="shared" si="162"/>
        <v>822.57947918545608</v>
      </c>
      <c r="BF131" s="9">
        <f t="shared" si="162"/>
        <v>1126.5029993774478</v>
      </c>
      <c r="BG131" s="9">
        <f t="shared" si="162"/>
        <v>1194.446629647832</v>
      </c>
      <c r="BH131" s="9">
        <f t="shared" si="162"/>
        <v>1210.933192813839</v>
      </c>
      <c r="BI131" s="9">
        <f t="shared" si="162"/>
        <v>1179.1574817793989</v>
      </c>
      <c r="BJ131" s="9">
        <f t="shared" si="162"/>
        <v>1190.8997931177648</v>
      </c>
      <c r="BK131" s="9">
        <f t="shared" si="162"/>
        <v>1316.388131628142</v>
      </c>
      <c r="BL131" s="9">
        <f t="shared" si="162"/>
        <v>1290.362207702389</v>
      </c>
      <c r="BM131" s="9">
        <f t="shared" si="162"/>
        <v>1271.4379440817961</v>
      </c>
      <c r="BN131" s="9">
        <f t="shared" si="162"/>
        <v>1318.3609580457401</v>
      </c>
      <c r="BO131" s="9">
        <f t="shared" si="162"/>
        <v>1292.6331464463519</v>
      </c>
      <c r="BP131" s="9">
        <f t="shared" si="162"/>
        <v>1354.9626281595999</v>
      </c>
      <c r="BQ131" s="9">
        <f t="shared" si="162"/>
        <v>1430.1476314449519</v>
      </c>
      <c r="BR131" s="9">
        <f t="shared" si="162"/>
        <v>1579.7249993982471</v>
      </c>
      <c r="BS131" s="9">
        <f t="shared" si="162"/>
        <v>1930.4037713699852</v>
      </c>
      <c r="BT131" s="9">
        <f t="shared" si="162"/>
        <v>1882.5503164741613</v>
      </c>
      <c r="BU131" s="9">
        <f t="shared" si="162"/>
        <v>1828.2405596486763</v>
      </c>
      <c r="BV131" s="9">
        <f t="shared" si="162"/>
        <v>1770.1874519346748</v>
      </c>
      <c r="BW131" s="9">
        <f t="shared" si="162"/>
        <v>1712.2657301398619</v>
      </c>
      <c r="BX131" s="9">
        <f t="shared" si="162"/>
        <v>1671.0904320331069</v>
      </c>
      <c r="BY131" s="9">
        <f t="shared" si="162"/>
        <v>1608.6998430221197</v>
      </c>
    </row>
    <row r="132" spans="1:77" x14ac:dyDescent="0.2">
      <c r="A132" s="12"/>
      <c r="B132" s="4" t="s">
        <v>129</v>
      </c>
      <c r="C132" s="7">
        <v>1780.2055368925</v>
      </c>
      <c r="D132" s="7">
        <v>2549.6387934734298</v>
      </c>
      <c r="E132" s="7">
        <v>2578.0986137221498</v>
      </c>
      <c r="F132" s="7">
        <v>2508.2017594057902</v>
      </c>
      <c r="G132" s="7">
        <v>2440.31565103309</v>
      </c>
      <c r="H132" s="7">
        <v>2333.0478828335799</v>
      </c>
      <c r="I132" s="7">
        <v>2280.1918617279998</v>
      </c>
      <c r="J132" s="7">
        <v>2226.8268844169202</v>
      </c>
      <c r="K132" s="7">
        <v>2159.3441755414601</v>
      </c>
      <c r="L132" s="7">
        <v>2050.6401780818101</v>
      </c>
      <c r="M132" s="7">
        <v>1985.7565036497799</v>
      </c>
      <c r="N132" s="7">
        <v>1924.0410162496901</v>
      </c>
      <c r="O132" s="7">
        <v>1859.9422200653901</v>
      </c>
      <c r="P132" s="7">
        <v>1777.60479684508</v>
      </c>
      <c r="Q132" s="7">
        <v>1708.1736376377601</v>
      </c>
      <c r="R132" s="7">
        <v>1636.1108146281099</v>
      </c>
      <c r="S132" s="7">
        <v>1561.0816903341499</v>
      </c>
      <c r="T132" s="7">
        <v>1482.73769938594</v>
      </c>
      <c r="U132" s="7">
        <v>1368.29004066793</v>
      </c>
      <c r="V132" s="7">
        <v>1281.44481938034</v>
      </c>
      <c r="W132" s="7">
        <v>1190.2742183406799</v>
      </c>
      <c r="X132" s="7">
        <v>1092.57308573251</v>
      </c>
      <c r="Y132" s="7">
        <v>985.45058464503404</v>
      </c>
      <c r="Z132" s="7">
        <v>875.02824748942999</v>
      </c>
      <c r="AA132" s="7">
        <v>754.42446766137505</v>
      </c>
      <c r="AB132" s="7">
        <v>643.73493275035503</v>
      </c>
      <c r="AC132" s="7">
        <v>517.805880440078</v>
      </c>
      <c r="AD132" s="7">
        <v>400.71179239533097</v>
      </c>
      <c r="AE132" s="7">
        <v>280.96551880739497</v>
      </c>
      <c r="AF132" s="7">
        <v>150.19838921851999</v>
      </c>
      <c r="AG132" s="7">
        <v>24.4723370329441</v>
      </c>
      <c r="AH132" s="7">
        <v>24.4723370329441</v>
      </c>
      <c r="AI132" s="7">
        <v>17.129167288767398</v>
      </c>
      <c r="AJ132" s="7">
        <v>17.129167288767398</v>
      </c>
      <c r="AK132" s="7">
        <v>17.129167288767398</v>
      </c>
      <c r="AL132" s="7">
        <v>17.129167288767398</v>
      </c>
      <c r="AM132" s="7">
        <v>17.129167288767398</v>
      </c>
      <c r="AO132" s="9">
        <f t="shared" ref="AO132:BY132" si="163">+C132-C42</f>
        <v>7.5312209393000558</v>
      </c>
      <c r="AP132" s="9">
        <f t="shared" si="163"/>
        <v>22.420387611889964</v>
      </c>
      <c r="AQ132" s="9">
        <f t="shared" si="163"/>
        <v>33.53908662008962</v>
      </c>
      <c r="AR132" s="9">
        <f t="shared" si="163"/>
        <v>-42.05268160623973</v>
      </c>
      <c r="AS132" s="9">
        <f t="shared" si="163"/>
        <v>-118.16758644555011</v>
      </c>
      <c r="AT132" s="9">
        <f t="shared" si="163"/>
        <v>-195.04820357423023</v>
      </c>
      <c r="AU132" s="9">
        <f t="shared" si="163"/>
        <v>-278.20429069607007</v>
      </c>
      <c r="AV132" s="9">
        <f t="shared" si="163"/>
        <v>-364.49924644250996</v>
      </c>
      <c r="AW132" s="9">
        <f t="shared" si="163"/>
        <v>-454.8359610788898</v>
      </c>
      <c r="AX132" s="9">
        <f t="shared" si="163"/>
        <v>-549.52399933378001</v>
      </c>
      <c r="AY132" s="9">
        <f t="shared" si="163"/>
        <v>-649.1567990038202</v>
      </c>
      <c r="AZ132" s="9">
        <f t="shared" si="163"/>
        <v>-753.93689693552005</v>
      </c>
      <c r="BA132" s="9">
        <f t="shared" si="163"/>
        <v>-864.29815947890006</v>
      </c>
      <c r="BB132" s="9">
        <f t="shared" si="163"/>
        <v>-980.44702600037976</v>
      </c>
      <c r="BC132" s="9">
        <f t="shared" si="163"/>
        <v>-1102.9528570755999</v>
      </c>
      <c r="BD132" s="9">
        <f t="shared" si="163"/>
        <v>-1234.11059950766</v>
      </c>
      <c r="BE132" s="9">
        <f t="shared" si="163"/>
        <v>-1372.76782251994</v>
      </c>
      <c r="BF132" s="9">
        <f t="shared" si="163"/>
        <v>-1539.8885180168402</v>
      </c>
      <c r="BG132" s="9">
        <f t="shared" si="163"/>
        <v>-1722.9037976669401</v>
      </c>
      <c r="BH132" s="9">
        <f t="shared" si="163"/>
        <v>-1880.6765081591998</v>
      </c>
      <c r="BI132" s="9">
        <f t="shared" si="163"/>
        <v>-2044.6800381058401</v>
      </c>
      <c r="BJ132" s="9">
        <f t="shared" si="163"/>
        <v>-2217.2604099862901</v>
      </c>
      <c r="BK132" s="9">
        <f t="shared" si="163"/>
        <v>-2401.4621350764555</v>
      </c>
      <c r="BL132" s="9">
        <f t="shared" si="163"/>
        <v>-2590.8367942941004</v>
      </c>
      <c r="BM132" s="9">
        <f t="shared" si="163"/>
        <v>-2792.4194818306951</v>
      </c>
      <c r="BN132" s="9">
        <f t="shared" si="163"/>
        <v>-2986.5187819009952</v>
      </c>
      <c r="BO132" s="9">
        <f t="shared" si="163"/>
        <v>-3198.8294048798221</v>
      </c>
      <c r="BP132" s="9">
        <f t="shared" si="163"/>
        <v>-3405.6386755105791</v>
      </c>
      <c r="BQ132" s="9">
        <f t="shared" si="163"/>
        <v>-3623.8548083544551</v>
      </c>
      <c r="BR132" s="9">
        <f t="shared" si="163"/>
        <v>-3854.221756684</v>
      </c>
      <c r="BS132" s="9">
        <f t="shared" si="163"/>
        <v>-4079.9338267013759</v>
      </c>
      <c r="BT132" s="9">
        <f t="shared" si="163"/>
        <v>-4180.2936553161762</v>
      </c>
      <c r="BU132" s="9">
        <f t="shared" si="163"/>
        <v>-4287.6657078078724</v>
      </c>
      <c r="BV132" s="9">
        <f t="shared" si="163"/>
        <v>-4387.415657177793</v>
      </c>
      <c r="BW132" s="9">
        <f t="shared" si="163"/>
        <v>-4487.8789154037322</v>
      </c>
      <c r="BX132" s="9">
        <f t="shared" si="163"/>
        <v>-4589.8318151248923</v>
      </c>
      <c r="BY132" s="9">
        <f t="shared" si="163"/>
        <v>-4692.3872139073828</v>
      </c>
    </row>
    <row r="133" spans="1:77" x14ac:dyDescent="0.2">
      <c r="A133" s="12"/>
      <c r="B133" s="4" t="s">
        <v>123</v>
      </c>
      <c r="C133" s="7">
        <v>3131.8938480792999</v>
      </c>
      <c r="D133" s="7">
        <v>2990.40933701213</v>
      </c>
      <c r="E133" s="7">
        <v>3438.1030522236601</v>
      </c>
      <c r="F133" s="7">
        <v>3596.0647748522301</v>
      </c>
      <c r="G133" s="7">
        <v>3842.0988948761001</v>
      </c>
      <c r="H133" s="7">
        <v>3826.6421339951798</v>
      </c>
      <c r="I133" s="7">
        <v>3534.28144398727</v>
      </c>
      <c r="J133" s="7">
        <v>3328.4899059910299</v>
      </c>
      <c r="K133" s="7">
        <v>3221.1813665992699</v>
      </c>
      <c r="L133" s="7">
        <v>3099.9286803584801</v>
      </c>
      <c r="M133" s="7">
        <v>3018.8640745573298</v>
      </c>
      <c r="N133" s="7">
        <v>2954.30102221367</v>
      </c>
      <c r="O133" s="7">
        <v>2912.21899497923</v>
      </c>
      <c r="P133" s="7">
        <v>2829.5844919732599</v>
      </c>
      <c r="Q133" s="7">
        <v>2760.61305758656</v>
      </c>
      <c r="R133" s="7">
        <v>2688.6984386096801</v>
      </c>
      <c r="S133" s="7">
        <v>2554.6439803285998</v>
      </c>
      <c r="T133" s="7">
        <v>2424.1349266041798</v>
      </c>
      <c r="U133" s="7">
        <v>2315.5863507909498</v>
      </c>
      <c r="V133" s="7">
        <v>2186.4930789725699</v>
      </c>
      <c r="W133" s="7">
        <v>2053.1332564777199</v>
      </c>
      <c r="X133" s="7">
        <v>1910.47013163574</v>
      </c>
      <c r="Y133" s="7">
        <v>1729.7385943914901</v>
      </c>
      <c r="Z133" s="7">
        <v>1567.86519136677</v>
      </c>
      <c r="AA133" s="7">
        <v>1396.5413581196301</v>
      </c>
      <c r="AB133" s="7">
        <v>1194.88927832581</v>
      </c>
      <c r="AC133" s="7">
        <v>1005.55522077811</v>
      </c>
      <c r="AD133" s="7">
        <v>779.803126681972</v>
      </c>
      <c r="AE133" s="7">
        <v>573.78887482386403</v>
      </c>
      <c r="AF133" s="7">
        <v>358.70605349021702</v>
      </c>
      <c r="AG133" s="7">
        <v>119.69197251529501</v>
      </c>
      <c r="AH133" s="7">
        <v>119.69197251529501</v>
      </c>
      <c r="AI133" s="7">
        <v>119.69197251529501</v>
      </c>
      <c r="AJ133" s="7">
        <v>119.69197251529501</v>
      </c>
      <c r="AK133" s="7">
        <v>119.69197251529501</v>
      </c>
      <c r="AL133" s="7">
        <v>119.69197251529501</v>
      </c>
      <c r="AM133" s="7">
        <v>119.69197251529501</v>
      </c>
      <c r="AO133" s="9">
        <f t="shared" ref="AO133:BY133" si="164">+C133-C43</f>
        <v>15.220177236649761</v>
      </c>
      <c r="AP133" s="9">
        <f t="shared" si="164"/>
        <v>27.513182619350118</v>
      </c>
      <c r="AQ133" s="9">
        <f t="shared" si="164"/>
        <v>49.002953815360343</v>
      </c>
      <c r="AR133" s="9">
        <f t="shared" si="164"/>
        <v>-59.551943162669886</v>
      </c>
      <c r="AS133" s="9">
        <f t="shared" si="164"/>
        <v>-197.75274831330989</v>
      </c>
      <c r="AT133" s="9">
        <f t="shared" si="164"/>
        <v>-334.17684616127053</v>
      </c>
      <c r="AU133" s="9">
        <f t="shared" si="164"/>
        <v>-459.67493792257983</v>
      </c>
      <c r="AV133" s="9">
        <f t="shared" si="164"/>
        <v>-576.63127506151022</v>
      </c>
      <c r="AW133" s="9">
        <f t="shared" si="164"/>
        <v>-711.14810619132004</v>
      </c>
      <c r="AX133" s="9">
        <f t="shared" si="164"/>
        <v>-855.44328525374976</v>
      </c>
      <c r="AY133" s="9">
        <f t="shared" si="164"/>
        <v>-1031.15687026462</v>
      </c>
      <c r="AZ133" s="9">
        <f t="shared" si="164"/>
        <v>-1203.5884349135404</v>
      </c>
      <c r="BA133" s="9">
        <f t="shared" si="164"/>
        <v>-1414.8906268195396</v>
      </c>
      <c r="BB133" s="9">
        <f t="shared" si="164"/>
        <v>-1611.9441901516102</v>
      </c>
      <c r="BC133" s="9">
        <f t="shared" si="164"/>
        <v>-1835.8857747591601</v>
      </c>
      <c r="BD133" s="9">
        <f t="shared" si="164"/>
        <v>-2079.84015537508</v>
      </c>
      <c r="BE133" s="9">
        <f t="shared" si="164"/>
        <v>-2302.8618983534402</v>
      </c>
      <c r="BF133" s="9">
        <f t="shared" si="164"/>
        <v>-2588.07145039434</v>
      </c>
      <c r="BG133" s="9">
        <f t="shared" si="164"/>
        <v>-2855.2937200964598</v>
      </c>
      <c r="BH133" s="9">
        <f t="shared" si="164"/>
        <v>-3149.0950278933801</v>
      </c>
      <c r="BI133" s="9">
        <f t="shared" si="164"/>
        <v>-3452.4357490629404</v>
      </c>
      <c r="BJ133" s="9">
        <f t="shared" si="164"/>
        <v>-3770.69132169252</v>
      </c>
      <c r="BK133" s="9">
        <f t="shared" si="164"/>
        <v>-4133.0174068079305</v>
      </c>
      <c r="BL133" s="9">
        <f t="shared" si="164"/>
        <v>-4481.9750077667704</v>
      </c>
      <c r="BM133" s="9">
        <f t="shared" si="164"/>
        <v>-4846.2332703994698</v>
      </c>
      <c r="BN133" s="9">
        <f t="shared" si="164"/>
        <v>-5247.5064531983899</v>
      </c>
      <c r="BO133" s="9">
        <f t="shared" si="164"/>
        <v>-5644.2667493162098</v>
      </c>
      <c r="BP133" s="9">
        <f t="shared" si="164"/>
        <v>-6086.0520524442582</v>
      </c>
      <c r="BQ133" s="9">
        <f t="shared" si="164"/>
        <v>-6527.3480731488162</v>
      </c>
      <c r="BR133" s="9">
        <f t="shared" si="164"/>
        <v>-6982.5140325775237</v>
      </c>
      <c r="BS133" s="9">
        <f t="shared" si="164"/>
        <v>-7464.9968283769449</v>
      </c>
      <c r="BT133" s="9">
        <f t="shared" si="164"/>
        <v>-7711.6363328639754</v>
      </c>
      <c r="BU133" s="9">
        <f t="shared" si="164"/>
        <v>-7960.5385353909651</v>
      </c>
      <c r="BV133" s="9">
        <f t="shared" si="164"/>
        <v>-8211.6732596835755</v>
      </c>
      <c r="BW133" s="9">
        <f t="shared" si="164"/>
        <v>-8465.9124210608461</v>
      </c>
      <c r="BX133" s="9">
        <f t="shared" si="164"/>
        <v>-8723.0642441948457</v>
      </c>
      <c r="BY133" s="9">
        <f t="shared" si="164"/>
        <v>-8984.404524493706</v>
      </c>
    </row>
    <row r="134" spans="1:77" x14ac:dyDescent="0.2">
      <c r="AO134" s="14">
        <f>+(SUM(AO114:AO133)*1000000)/1000000000</f>
        <v>4.6225660965653607E-2</v>
      </c>
      <c r="AP134" s="14">
        <f t="shared" ref="AP134" si="165">+(SUM(AP114:AP133)*1000000)/1000000000</f>
        <v>9.9664113518563996E-2</v>
      </c>
      <c r="AQ134" s="14">
        <f t="shared" ref="AQ134" si="166">+(SUM(AQ114:AQ133)*1000000)/1000000000</f>
        <v>0.15831386437955602</v>
      </c>
      <c r="AR134" s="14">
        <f t="shared" ref="AR134" si="167">+(SUM(AR114:AR133)*1000000)/1000000000</f>
        <v>2.7075852749195318E-2</v>
      </c>
      <c r="AS134" s="14">
        <f t="shared" ref="AS134" si="168">+(SUM(AS114:AS133)*1000000)/1000000000</f>
        <v>5.1535707793889289E-3</v>
      </c>
      <c r="AT134" s="14">
        <f t="shared" ref="AT134" si="169">+(SUM(AT114:AT133)*1000000)/1000000000</f>
        <v>-9.3422021862052937E-2</v>
      </c>
      <c r="AU134" s="14">
        <f t="shared" ref="AU134" si="170">+(SUM(AU114:AU133)*1000000)/1000000000</f>
        <v>-0.19629084002471156</v>
      </c>
      <c r="AV134" s="14">
        <f t="shared" ref="AV134" si="171">+(SUM(AV114:AV133)*1000000)/1000000000</f>
        <v>-0.33234882599141896</v>
      </c>
      <c r="AW134" s="14">
        <f t="shared" ref="AW134" si="172">+(SUM(AW114:AW133)*1000000)/1000000000</f>
        <v>-0.49629352047571867</v>
      </c>
      <c r="AX134" s="14">
        <f t="shared" ref="AX134" si="173">+(SUM(AX114:AX133)*1000000)/1000000000</f>
        <v>-0.60317415784298689</v>
      </c>
      <c r="AY134" s="14">
        <f t="shared" ref="AY134" si="174">+(SUM(AY114:AY133)*1000000)/1000000000</f>
        <v>-0.74538670229277726</v>
      </c>
      <c r="AZ134" s="14">
        <f t="shared" ref="AZ134" si="175">+(SUM(AZ114:AZ133)*1000000)/1000000000</f>
        <v>-0.94254175582416255</v>
      </c>
      <c r="BA134" s="14">
        <f t="shared" ref="BA134" si="176">+(SUM(BA114:BA133)*1000000)/1000000000</f>
        <v>-1.1732977950946932</v>
      </c>
      <c r="BB134" s="14">
        <f t="shared" ref="BB134" si="177">+(SUM(BB114:BB133)*1000000)/1000000000</f>
        <v>-1.4003330234131972</v>
      </c>
      <c r="BC134" s="14">
        <f t="shared" ref="BC134" si="178">+(SUM(BC114:BC133)*1000000)/1000000000</f>
        <v>-1.6599215865648438</v>
      </c>
      <c r="BD134" s="14">
        <f t="shared" ref="BD134" si="179">+(SUM(BD114:BD133)*1000000)/1000000000</f>
        <v>-1.925566907101248</v>
      </c>
      <c r="BE134" s="14">
        <f t="shared" ref="BE134" si="180">+(SUM(BE114:BE133)*1000000)/1000000000</f>
        <v>-2.1807858109598053</v>
      </c>
      <c r="BF134" s="14">
        <f t="shared" ref="BF134" si="181">+(SUM(BF114:BF133)*1000000)/1000000000</f>
        <v>-2.3911745341866957</v>
      </c>
      <c r="BG134" s="14">
        <f t="shared" ref="BG134" si="182">+(SUM(BG114:BG133)*1000000)/1000000000</f>
        <v>-2.7638443034230713</v>
      </c>
      <c r="BH134" s="14">
        <f t="shared" ref="BH134" si="183">+(SUM(BH114:BH133)*1000000)/1000000000</f>
        <v>-3.1927219280548589</v>
      </c>
      <c r="BI134" s="14">
        <f t="shared" ref="BI134" si="184">+(SUM(BI114:BI133)*1000000)/1000000000</f>
        <v>-3.672149607584112</v>
      </c>
      <c r="BJ134" s="14">
        <f t="shared" ref="BJ134" si="185">+(SUM(BJ114:BJ133)*1000000)/1000000000</f>
        <v>-4.1538140439421634</v>
      </c>
      <c r="BK134" s="14">
        <f>+(SUM(BK114:BK133)*1000000)/1000000000</f>
        <v>-4.5379469889294635</v>
      </c>
      <c r="BL134" s="14">
        <f t="shared" ref="BL134" si="186">+(SUM(BL114:BL133)*1000000)/1000000000</f>
        <v>-5.0722677968925991</v>
      </c>
      <c r="BM134" s="14">
        <f t="shared" ref="BM134" si="187">+(SUM(BM114:BM133)*1000000)/1000000000</f>
        <v>-5.6199829129025005</v>
      </c>
      <c r="BN134" s="14">
        <f t="shared" ref="BN134" si="188">+(SUM(BN114:BN133)*1000000)/1000000000</f>
        <v>-6.128968001271681</v>
      </c>
      <c r="BO134" s="14">
        <f t="shared" ref="BO134" si="189">+(SUM(BO114:BO133)*1000000)/1000000000</f>
        <v>-6.7281043028182692</v>
      </c>
      <c r="BP134" s="14">
        <f t="shared" ref="BP134" si="190">+(SUM(BP114:BP133)*1000000)/1000000000</f>
        <v>-7.2569037077091583</v>
      </c>
      <c r="BQ134" s="14">
        <f t="shared" ref="BQ134" si="191">+(SUM(BQ114:BQ133)*1000000)/1000000000</f>
        <v>-7.7616594449999559</v>
      </c>
      <c r="BR134" s="14">
        <f t="shared" ref="BR134" si="192">+(SUM(BR114:BR133)*1000000)/1000000000</f>
        <v>-8.3054721011435344</v>
      </c>
      <c r="BS134" s="14">
        <f t="shared" ref="BS134" si="193">+(SUM(BS114:BS133)*1000000)/1000000000</f>
        <v>-8.6678209022290815</v>
      </c>
      <c r="BT134" s="14">
        <f t="shared" ref="BT134" si="194">+(SUM(BT114:BT133)*1000000)/1000000000</f>
        <v>-9.01850775116975</v>
      </c>
      <c r="BU134" s="14">
        <f t="shared" ref="BU134" si="195">+(SUM(BU114:BU133)*1000000)/1000000000</f>
        <v>-9.3817465250717724</v>
      </c>
      <c r="BV134" s="14">
        <f t="shared" ref="BV134" si="196">+(SUM(BV114:BV133)*1000000)/1000000000</f>
        <v>-9.7455993593761381</v>
      </c>
      <c r="BW134" s="14">
        <f t="shared" ref="BW134" si="197">+(SUM(BW114:BW133)*1000000)/1000000000</f>
        <v>-10.121055767888205</v>
      </c>
      <c r="BX134" s="14">
        <f t="shared" ref="BX134" si="198">+(SUM(BX114:BX133)*1000000)/1000000000</f>
        <v>-10.516104374390832</v>
      </c>
      <c r="BY134" s="14">
        <f t="shared" ref="BY134" si="199">+(SUM(BY114:BY133)*1000000)/1000000000</f>
        <v>-10.908395795872559</v>
      </c>
    </row>
  </sheetData>
  <mergeCells count="12">
    <mergeCell ref="A69:A88"/>
    <mergeCell ref="C90:AM90"/>
    <mergeCell ref="C91:AM91"/>
    <mergeCell ref="A93:A112"/>
    <mergeCell ref="A114:A133"/>
    <mergeCell ref="A24:A43"/>
    <mergeCell ref="C45:AM45"/>
    <mergeCell ref="C46:AM46"/>
    <mergeCell ref="A48:A67"/>
    <mergeCell ref="C1:AM1"/>
    <mergeCell ref="C2:AM2"/>
    <mergeCell ref="A4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 2</vt:lpstr>
      <vt:lpstr>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Fabian Fuentes Rivas</cp:lastModifiedBy>
  <dcterms:modified xsi:type="dcterms:W3CDTF">2026-02-23T17:23:05Z</dcterms:modified>
</cp:coreProperties>
</file>